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showInkAnnotation="0"/>
  <mc:AlternateContent xmlns:mc="http://schemas.openxmlformats.org/markup-compatibility/2006">
    <mc:Choice Requires="x15">
      <x15ac:absPath xmlns:x15ac="http://schemas.microsoft.com/office/spreadsheetml/2010/11/ac" url="\\server-ut\Ufficio tecnico\01 - ARCHIVIO UFF-TECNICO\02 - ARCHIVIO DISTINTE MACCHINE\06 - Trasportatori a catena\"/>
    </mc:Choice>
  </mc:AlternateContent>
  <xr:revisionPtr revIDLastSave="0" documentId="13_ncr:1_{D40A139B-47EA-44F5-BB6B-6B52F7B9B9D4}" xr6:coauthVersionLast="47" xr6:coauthVersionMax="47" xr10:uidLastSave="{00000000-0000-0000-0000-000000000000}"/>
  <bookViews>
    <workbookView xWindow="28680" yWindow="-120" windowWidth="29040" windowHeight="15720" xr2:uid="{00000000-000D-0000-FFFF-FFFF00000000}"/>
  </bookViews>
  <sheets>
    <sheet name="1" sheetId="1" r:id="rId1"/>
    <sheet name="2" sheetId="3" r:id="rId2"/>
    <sheet name="Dati" sheetId="2" state="hidden" r:id="rId3"/>
    <sheet name="Traduzioni" sheetId="6" state="hidden" r:id="rId4"/>
    <sheet name="Guarnizioni" sheetId="5" state="hidden" r:id="rId5"/>
    <sheet name="Codici" sheetId="4" state="hidden" r:id="rId6"/>
  </sheets>
  <definedNames>
    <definedName name="_xlnm._FilterDatabase" localSheetId="5" hidden="1">Codici!$B$14:$U$122</definedName>
    <definedName name="alb_tab">'1'!$Y$188</definedName>
    <definedName name="ang_disc">'1'!$AB$117</definedName>
    <definedName name="anno">'1'!$L$23</definedName>
    <definedName name="_xlnm.Print_Area" localSheetId="0">'1'!$A:$L</definedName>
    <definedName name="_xlnm.Print_Area" localSheetId="1">'2'!$A:$K</definedName>
    <definedName name="ATEX">'2'!$B$8</definedName>
    <definedName name="ATEX_rating">Dati!$W$75:$Z$78</definedName>
    <definedName name="ATEX_tag">Dati!$AB$74:$AD$80</definedName>
    <definedName name="attacco_parti">Dati!$B$405:$F$407</definedName>
    <definedName name="attacco_tipo">Dati!$B$388:$M$399</definedName>
    <definedName name="barra_fil">'1'!$J$199</definedName>
    <definedName name="br_11">Dati!$B$258:$L$266</definedName>
    <definedName name="br_15">Dati!$B$270:$L$279</definedName>
    <definedName name="br_19">Dati!$B$283:$L$287</definedName>
    <definedName name="br_21">Dati!$B$291:$L$296</definedName>
    <definedName name="br_25">Dati!$B$300:$L$305</definedName>
    <definedName name="br_30">Dati!$B$309:$L$315</definedName>
    <definedName name="br_35">Dati!$B$319:$L$326</definedName>
    <definedName name="br_40">Dati!$B$330:$L$337</definedName>
    <definedName name="br_pnz">Dati!$B$341:$L$348</definedName>
    <definedName name="bul_24_40STD">Dati!$L$473:$M$482</definedName>
    <definedName name="bul_50_60STD">Dati!$L$493:$M$503</definedName>
    <definedName name="bul_50_80OSB">Dati!$L$514:$M$523</definedName>
    <definedName name="bul_elenco">'1'!$AA$133</definedName>
    <definedName name="bulloneria_sopp">Dati!$B$411:$N$416</definedName>
    <definedName name="bulloneria_sopp_A">Dati!$B$424:$H$435</definedName>
    <definedName name="bulloneria_sopp_B">Dati!$B$441:$H$452</definedName>
    <definedName name="calettatori_D">Dati!$Q$73:$Q$90</definedName>
    <definedName name="calettatori_dati">Dati!$Q$73:$R$90</definedName>
    <definedName name="casse_cod">Dati!$B$121:$E$147</definedName>
    <definedName name="casse_L">Dati!$B$121:$B$147</definedName>
    <definedName name="casse_opt">'1'!$Y$105:$AF$108</definedName>
    <definedName name="casse_tipi">Codici!$C$145:$C$149</definedName>
    <definedName name="casse_tipi_opt">Codici!$C$145:$D$149</definedName>
    <definedName name="cat">Codici!$AC$4:$AD$8</definedName>
    <definedName name="catena_tipo">'1'!$Y$67</definedName>
    <definedName name="catena_trasm_dati">Dati!$B$72:$F$87</definedName>
    <definedName name="catena_trasm_passo">Dati!$B$72:$B$87</definedName>
    <definedName name="catena_trasm_potenza">Dati!$F$72:$G$83</definedName>
    <definedName name="cavi_sns">Dati!$Q$120:$Q$126</definedName>
    <definedName name="cfg">'1'!$I$23</definedName>
    <definedName name="chg">Codici!$Z$4:$AA$7</definedName>
    <definedName name="chk_mrid">'1'!$Z$58</definedName>
    <definedName name="cliente">'1'!$B$16</definedName>
    <definedName name="Cmax">'1'!$Y$75</definedName>
    <definedName name="cod_allestimento">'1'!$AA$90</definedName>
    <definedName name="cod_anno">Dati!$U$121:$V$147</definedName>
    <definedName name="cod_sint">Codici!$B$15:$B$135</definedName>
    <definedName name="col_N">'1'!$AC$188</definedName>
    <definedName name="col_nome">'1'!$AA$188</definedName>
    <definedName name="comando_dati">Dati!$B$35:$T$43</definedName>
    <definedName name="comm">'1'!$B$13</definedName>
    <definedName name="comm_RO">'1'!$C$13</definedName>
    <definedName name="cop">Codici!$W$4:$X$6</definedName>
    <definedName name="cop_mat">Codici!$W$4:$W$6</definedName>
    <definedName name="curva_ang">Dati!$G$121:$G$131</definedName>
    <definedName name="curva_dati">Dati!$G$121:$H$131</definedName>
    <definedName name="D_alb_com">'1'!$D$164</definedName>
    <definedName name="D_alb_rnv">'1'!$J$164</definedName>
    <definedName name="D_max_spina">'1'!$AG$75</definedName>
    <definedName name="data">'1'!$K$13</definedName>
    <definedName name="dimens">Dati!$B$20:$B$28</definedName>
    <definedName name="dis">'1'!$E$13</definedName>
    <definedName name="disp_col_N">'1'!$AB$206</definedName>
    <definedName name="disp_dati">Dati!$B$246:$I$251</definedName>
    <definedName name="disp_reaz_tipo">'1'!$D$204</definedName>
    <definedName name="disp_tipi">Dati!$B$246:$B$251</definedName>
    <definedName name="disp_tranc">Dati!$AG$50:$AL$54</definedName>
    <definedName name="disp_tranc_opt">Dati!$AH$50:$AL$54</definedName>
    <definedName name="EAC_tag">'2'!$A$14</definedName>
    <definedName name="elenco_lingue">Traduzioni!$B$5:$D$6</definedName>
    <definedName name="esec_dati">Codici!$B$15:$Y$135</definedName>
    <definedName name="Ex_tag">'2'!$G$8</definedName>
    <definedName name="flg_br">'1'!$AC$206</definedName>
    <definedName name="flg_chad">'1'!$R$65</definedName>
    <definedName name="flg_cur_ang">'1'!$R$116</definedName>
    <definedName name="flg_cur_inf">'1'!$R$117</definedName>
    <definedName name="flg_cur_sup">'1'!$R$118</definedName>
    <definedName name="flg_gmot">'1'!$R$56</definedName>
    <definedName name="flg_mrid_forn">'1'!$R$60</definedName>
    <definedName name="flg_mrid_lato">'1'!$Z$60</definedName>
    <definedName name="flg_mrid_tipo">'1'!$AC$61</definedName>
    <definedName name="flg_pul">'1'!$R$54</definedName>
    <definedName name="flg_rnv_mot">'1'!$R$92</definedName>
    <definedName name="flg_RO">'1'!$R$13</definedName>
    <definedName name="fondo">'1'!$Z$133</definedName>
    <definedName name="forn">Dati!$E$64:$E$67</definedName>
    <definedName name="gcop_ccar_24_40STD">Guarnizioni!$K$9:$N$30</definedName>
    <definedName name="gcop_ccar_50_60STD">Guarnizioni!$K$39:$M$60</definedName>
    <definedName name="gcop_ccar_50_80OSB">Guarnizioni!$K$69:$N$115</definedName>
    <definedName name="gcop_cinf_24_40STD">Guarnizioni!$S$9:$V$20</definedName>
    <definedName name="gcop_cinf_50_60STD">Guarnizioni!$S$39:$U$50</definedName>
    <definedName name="gcop_cinf_50_80OSB">Guarnizioni!$S$69:$V$80</definedName>
    <definedName name="gcop_com_24_40STD">Guarnizioni!$AK$9:$AN$9</definedName>
    <definedName name="gcop_com_50_60STD">Guarnizioni!$AK$39:$AM$39</definedName>
    <definedName name="gcop_com_50_80OSB">Guarnizioni!$AK$69:$AN$69</definedName>
    <definedName name="gcop_cstd_24_40STD">Guarnizioni!$C$9:$F$30</definedName>
    <definedName name="gcop_cstd_50_60STD">Guarnizioni!$C$39:$E$60</definedName>
    <definedName name="gcop_cstd_50_80OSB">Guarnizioni!$C$69:$F$115</definedName>
    <definedName name="gcop_csup_24_40STD">Guarnizioni!$AB$9:$AE$19</definedName>
    <definedName name="gcop_csup_50_60STD">Guarnizioni!$AB$39:$AD$49</definedName>
    <definedName name="gcop_csup_50_80OSB">Guarnizioni!$AB$69:$AE$79</definedName>
    <definedName name="gcop_rnv_24_40STD">Guarnizioni!$AK$17:$AN$17</definedName>
    <definedName name="gcop_rnv_50_60STD">Guarnizioni!$AK$46:$AM$46</definedName>
    <definedName name="gcop_rnv_50_80OSB">Guarnizioni!$AK$76:$AN$76</definedName>
    <definedName name="gr_dati">Dati!$M$72:$O$74</definedName>
    <definedName name="gr_tipi">Dati!$M$72:$M$74</definedName>
    <definedName name="guida_mis">Codici!$Z$4:$Z$7</definedName>
    <definedName name="H_fianc">'1'!$Z$42</definedName>
    <definedName name="hm_cat">'1'!$Y$154</definedName>
    <definedName name="ID_lingua">Traduzioni!$D$2</definedName>
    <definedName name="impianto">'1'!$F$16</definedName>
    <definedName name="incl">'1'!$H$48</definedName>
    <definedName name="incl_com">'1'!$G$90</definedName>
    <definedName name="inst_opt">Dati!$AW$42:$AW$45</definedName>
    <definedName name="L_24_40">Codici!$G$145:$G$171</definedName>
    <definedName name="L_24_40_dati">Codici!$G$145:$P$171</definedName>
    <definedName name="L_50_60N">Codici!$G$198:$G$224</definedName>
    <definedName name="L_50_60N_dati">Codici!$G$198:$P$224</definedName>
    <definedName name="L_50_80L">Codici!$G$235:$G$286</definedName>
    <definedName name="L_50_80L_dati">Codici!$G$235:$P$286</definedName>
    <definedName name="L_guarn_casse">'1'!$T$114</definedName>
    <definedName name="L_guarn_tot">'1'!$T$124</definedName>
    <definedName name="lingua">'1'!$N$4</definedName>
    <definedName name="lingue">Traduzioni!$B$5:$D$5</definedName>
    <definedName name="mac_cod_sint">'1'!$AD$42</definedName>
    <definedName name="macchina_cod">'1'!$C$48</definedName>
    <definedName name="macchina_dati">Dati!$B$20:$AN$28</definedName>
    <definedName name="macchina_pos">Dati!$F$5:$G$13</definedName>
    <definedName name="macchina_tipo">'1'!$H$45</definedName>
    <definedName name="macchina_W">'1'!$B$42</definedName>
    <definedName name="mat">Codici!$T$4:$U$9</definedName>
    <definedName name="mat_cop">'1'!$Z$98</definedName>
    <definedName name="mat_fianc">'1'!$AA$98</definedName>
    <definedName name="mat_fondo">'1'!$AB$98</definedName>
    <definedName name="mat_guida">'1'!$AD$98</definedName>
    <definedName name="mat_riv">'1'!$AC$98</definedName>
    <definedName name="mat_trasp">Dati!$AW$20:$AW$28</definedName>
    <definedName name="mat_trasp_opt">Dati!$AW$20:$AY$28</definedName>
    <definedName name="matr">'1'!$G$13</definedName>
    <definedName name="mod_base">'1'!$AF$42</definedName>
    <definedName name="molle">Dati!$B$223:$N$240</definedName>
    <definedName name="mot_opt">Dati!$B$64:$B$67</definedName>
    <definedName name="mot_opt_dati">Dati!$B$64:$C$67</definedName>
    <definedName name="mot_opt_scelta">'1'!$E$56</definedName>
    <definedName name="mrid">'1'!$C$58</definedName>
    <definedName name="mrid_dati">Dati!$BB$20:$BI$46</definedName>
    <definedName name="mrid_inst">Dati!$B$357:$P$382</definedName>
    <definedName name="mrid_K_pos">Dati!$BL$20:$BL$27</definedName>
    <definedName name="mrid_lim">'1'!$Z$51:$AB$53</definedName>
    <definedName name="mrid_mis">'1'!$Z$62</definedName>
    <definedName name="mrid_qt">'1'!$B$58</definedName>
    <definedName name="mrid_R_pos">Dati!$BK$20:$BK$24</definedName>
    <definedName name="mrid_tipi">Dati!$BB$20:$BB$43</definedName>
    <definedName name="mrid_tipi_K">Dati!$BB$28:$BB$43</definedName>
    <definedName name="mrid_tipi_R">Dati!$BB$20:$BB$27</definedName>
    <definedName name="mrid_tipo">'1'!$Z$61</definedName>
    <definedName name="n_giunz">'1'!$Y$133</definedName>
    <definedName name="n_rid">'1'!$F$58</definedName>
    <definedName name="nota_1">'1'!$C$268</definedName>
    <definedName name="nota_2">'1'!$C$269</definedName>
    <definedName name="nota_3">'1'!$C$270</definedName>
    <definedName name="nota_4">'1'!$C$271</definedName>
    <definedName name="nota_5">'1'!$C$272</definedName>
    <definedName name="ol_dati">Dati!$I$72:$K$76</definedName>
    <definedName name="ol_tipi">Dati!$I$72:$I$76</definedName>
    <definedName name="opt">Dati!$AW$49:$AW$51</definedName>
    <definedName name="P_rid">'1'!$E$58</definedName>
    <definedName name="pannelli_bul">Dati!$V$86:$AD$89</definedName>
    <definedName name="pos">'1'!$J$16</definedName>
    <definedName name="potenza">Dati!$BN$20:$BN$40</definedName>
    <definedName name="pr_guida">'1'!$AD$97</definedName>
    <definedName name="react_opt">Dati!$AW$59:$AW$61</definedName>
    <definedName name="rev">'1'!$R$1</definedName>
    <definedName name="rinvio_dati">Dati!$B$50:$AC$58</definedName>
    <definedName name="sns_br">Dati!$O$120:$O$126</definedName>
    <definedName name="sns_cr">Dati!$K$120:$K$132</definedName>
    <definedName name="sns_int">Dati!$M$120:$M$132</definedName>
    <definedName name="sns_liv">Dati!$S$120:$S$126</definedName>
    <definedName name="sopp_24_std">Dati!$C$190:$E$190</definedName>
    <definedName name="sopp_30_std">Dati!$C$191:$E$191</definedName>
    <definedName name="sopp_40_std">Dati!$C$192:$E$192</definedName>
    <definedName name="sopp_50_osb">Dati!$C$195:$G$195</definedName>
    <definedName name="sopp_50_std">Dati!$C$193:$E$193</definedName>
    <definedName name="sopp_60_osb">Dati!$C$196:$G$196</definedName>
    <definedName name="sopp_60_std">Dati!$C$194:$E$194</definedName>
    <definedName name="sopp_80_osb">Dati!$C$197:$G$197</definedName>
    <definedName name="sopporti_dati">Dati!$B$96:$O$104</definedName>
    <definedName name="sopporti_rnv_dati">Dati!$B$111:$N$113</definedName>
    <definedName name="sopporti_tipi">Dati!$B$96:$B$104</definedName>
    <definedName name="sopporti_tipi_OSB">Dati!$B$96:$B$101</definedName>
    <definedName name="sopporti_tipi_STD">Dati!$B$96:$B$99</definedName>
    <definedName name="sp_cop">'1'!$Z$97</definedName>
    <definedName name="sp_fianc">'1'!$AA$97</definedName>
    <definedName name="sp_fondo">'1'!$AB$97</definedName>
    <definedName name="sp_guida">'1'!$AD$101</definedName>
    <definedName name="sp_riv">'1'!$AC$97</definedName>
    <definedName name="spec_curva">Dati!$B$461:$E$464</definedName>
    <definedName name="std_forn">Dati!$BQ$20:$CD$30</definedName>
    <definedName name="str_forn">'1'!$AE$97</definedName>
    <definedName name="supply_opt">Dati!$AW$54:$AW$56</definedName>
    <definedName name="tab_disp">'1'!$Z$206</definedName>
    <definedName name="tab_tcom_cod">Codici!$W$145:$AE$185</definedName>
    <definedName name="telai_pann">Dati!$AV$35:$AY$37</definedName>
    <definedName name="temp">'2'!$D$8</definedName>
    <definedName name="termini">Traduzioni!$A$7:$A$252</definedName>
    <definedName name="_xlnm.Print_Titles" localSheetId="0">'1'!$1:$3</definedName>
    <definedName name="TKK_24_40">Dati!$B$5:$F$7</definedName>
    <definedName name="TKK_24_H">Dati!$C$5</definedName>
    <definedName name="TKK_30_H">Dati!$C$6</definedName>
    <definedName name="TKK_40_H">Dati!$C$7</definedName>
    <definedName name="TKK_50">Dati!$B$8:$F$9</definedName>
    <definedName name="TKK_50_H">Dati!$C$8:$C$9</definedName>
    <definedName name="TKK_60">Dati!$B$10:$F$11</definedName>
    <definedName name="TKK_60_H">Dati!$C$10:$C$11</definedName>
    <definedName name="TKK_80">Dati!$B$12:$F$12</definedName>
    <definedName name="TKK_80_H">Dati!$C$12</definedName>
    <definedName name="trad_termini">Traduzioni!$A$7:$D$252</definedName>
    <definedName name="v_trasp">'1'!$K$38</definedName>
    <definedName name="W_cassa">'1'!$Y$42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6" i="2" l="1"/>
  <c r="N57" i="2"/>
  <c r="N55" i="2"/>
  <c r="N53" i="2"/>
  <c r="N51" i="2"/>
  <c r="N52" i="2"/>
  <c r="N50" i="2"/>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5" i="4"/>
  <c r="N54" i="2"/>
  <c r="N233" i="1"/>
  <c r="I233" i="1"/>
  <c r="N238" i="1"/>
  <c r="N263" i="1"/>
  <c r="N229" i="1"/>
  <c r="N230" i="1"/>
  <c r="N228" i="1"/>
  <c r="N118" i="1"/>
  <c r="N117" i="1"/>
  <c r="N65" i="1"/>
  <c r="D188" i="1"/>
  <c r="I97" i="1"/>
  <c r="N97" i="1" s="1"/>
  <c r="J75" i="1"/>
  <c r="D2" i="6"/>
  <c r="C233" i="1" s="1"/>
  <c r="B35" i="3" l="1"/>
  <c r="C7" i="3"/>
  <c r="A33" i="3"/>
  <c r="B7" i="3"/>
  <c r="A17" i="3"/>
  <c r="A7" i="3"/>
  <c r="A13" i="3"/>
  <c r="A6" i="3"/>
  <c r="A12" i="3"/>
  <c r="A1" i="3"/>
  <c r="G7" i="3"/>
  <c r="D7" i="3"/>
  <c r="E7" i="3"/>
  <c r="B4" i="1"/>
  <c r="AC183" i="4"/>
  <c r="AC171" i="4"/>
  <c r="AC162" i="4"/>
  <c r="AC152" i="4"/>
  <c r="AC154" i="4"/>
  <c r="AC182" i="4"/>
  <c r="AC170" i="4"/>
  <c r="AC161" i="4"/>
  <c r="AC151" i="4"/>
  <c r="AC180" i="4"/>
  <c r="AC168" i="4"/>
  <c r="AC160" i="4"/>
  <c r="AC149" i="4"/>
  <c r="AC179" i="4"/>
  <c r="AC167" i="4"/>
  <c r="AC159" i="4"/>
  <c r="AC148" i="4"/>
  <c r="AC163" i="4"/>
  <c r="AC177" i="4"/>
  <c r="AC166" i="4"/>
  <c r="AC158" i="4"/>
  <c r="AC146" i="4"/>
  <c r="AC176" i="4"/>
  <c r="AC165" i="4"/>
  <c r="AC157" i="4"/>
  <c r="AC145" i="4"/>
  <c r="AC174" i="4"/>
  <c r="AC164" i="4"/>
  <c r="AC155" i="4"/>
  <c r="AC173" i="4"/>
  <c r="K74" i="2"/>
  <c r="K72" i="2"/>
  <c r="B85" i="1"/>
  <c r="K73" i="2"/>
  <c r="D85" i="1"/>
  <c r="K75" i="2"/>
  <c r="F85" i="1"/>
  <c r="B41" i="1"/>
  <c r="F44" i="1"/>
  <c r="F66" i="1"/>
  <c r="AW27" i="2"/>
  <c r="J158" i="1"/>
  <c r="AW43" i="2"/>
  <c r="N188" i="1"/>
  <c r="B8" i="1"/>
  <c r="H7" i="1"/>
  <c r="N13" i="1"/>
  <c r="AW22" i="2"/>
  <c r="B66" i="2"/>
  <c r="AW50" i="2"/>
  <c r="B88" i="1"/>
  <c r="N23" i="1"/>
  <c r="AW23" i="2"/>
  <c r="R56" i="1"/>
  <c r="AW54" i="2"/>
  <c r="J15" i="1"/>
  <c r="C96" i="1"/>
  <c r="AW24" i="2"/>
  <c r="Z64" i="1"/>
  <c r="AW55" i="2"/>
  <c r="B22" i="1"/>
  <c r="AW25" i="2"/>
  <c r="AW59" i="2"/>
  <c r="B127" i="1"/>
  <c r="AW26" i="2"/>
  <c r="AW42" i="2"/>
  <c r="AW60" i="2"/>
  <c r="AW20" i="2"/>
  <c r="B64" i="2"/>
  <c r="AW44" i="2"/>
  <c r="B73" i="1"/>
  <c r="G197" i="1"/>
  <c r="AW21" i="2"/>
  <c r="B65" i="2"/>
  <c r="AW49" i="2"/>
  <c r="E7" i="1"/>
  <c r="G22" i="1"/>
  <c r="H47" i="1"/>
  <c r="F96" i="1"/>
  <c r="B132" i="1"/>
  <c r="B162" i="1"/>
  <c r="B206" i="1"/>
  <c r="F8" i="1"/>
  <c r="B25" i="1"/>
  <c r="E55" i="1"/>
  <c r="K74" i="1"/>
  <c r="D134" i="1"/>
  <c r="H167" i="1"/>
  <c r="B212" i="1"/>
  <c r="B11" i="1"/>
  <c r="D26" i="1"/>
  <c r="L57" i="1"/>
  <c r="B79" i="1"/>
  <c r="C100" i="1"/>
  <c r="D148" i="1"/>
  <c r="C176" i="1"/>
  <c r="C221" i="1"/>
  <c r="E12" i="1"/>
  <c r="B36" i="1"/>
  <c r="B62" i="1"/>
  <c r="C81" i="1"/>
  <c r="F100" i="1"/>
  <c r="D152" i="1"/>
  <c r="E166" i="1"/>
  <c r="E227" i="1"/>
  <c r="B5" i="1"/>
  <c r="B15" i="1"/>
  <c r="G36" i="1"/>
  <c r="B65" i="1"/>
  <c r="D84" i="1"/>
  <c r="B118" i="1"/>
  <c r="D153" i="1"/>
  <c r="B189" i="1"/>
  <c r="B236" i="1"/>
  <c r="E116" i="1"/>
  <c r="L153" i="1"/>
  <c r="B245" i="1"/>
  <c r="C7" i="1"/>
  <c r="G18" i="1"/>
  <c r="D41" i="1"/>
  <c r="B68" i="1"/>
  <c r="C89" i="1"/>
  <c r="B124" i="1"/>
  <c r="D158" i="1"/>
  <c r="D192" i="1"/>
  <c r="B255" i="1"/>
  <c r="G7" i="1"/>
  <c r="B12" i="1"/>
  <c r="B18" i="1"/>
  <c r="I22" i="1"/>
  <c r="E36" i="1"/>
  <c r="E41" i="1"/>
  <c r="B54" i="1"/>
  <c r="C59" i="1"/>
  <c r="C66" i="1"/>
  <c r="B70" i="1"/>
  <c r="I75" i="1"/>
  <c r="I82" i="1"/>
  <c r="B90" i="1"/>
  <c r="D96" i="1"/>
  <c r="D100" i="1"/>
  <c r="C116" i="1"/>
  <c r="B125" i="1"/>
  <c r="B133" i="1"/>
  <c r="B150" i="1"/>
  <c r="F153" i="1"/>
  <c r="F158" i="1"/>
  <c r="B164" i="1"/>
  <c r="H171" i="1"/>
  <c r="C175" i="1"/>
  <c r="J166" i="1"/>
  <c r="D183" i="1"/>
  <c r="E192" i="1"/>
  <c r="I199" i="1"/>
  <c r="B209" i="1"/>
  <c r="B211" i="1"/>
  <c r="C223" i="1"/>
  <c r="H227" i="1"/>
  <c r="B237" i="1"/>
  <c r="C245" i="1"/>
  <c r="C255" i="1"/>
  <c r="F7" i="1"/>
  <c r="C12" i="1"/>
  <c r="E18" i="1"/>
  <c r="L22" i="1"/>
  <c r="F36" i="1"/>
  <c r="C44" i="1"/>
  <c r="B55" i="1"/>
  <c r="I60" i="1"/>
  <c r="E66" i="1"/>
  <c r="B71" i="1"/>
  <c r="B77" i="1"/>
  <c r="B84" i="1"/>
  <c r="B92" i="1"/>
  <c r="G96" i="1"/>
  <c r="E100" i="1"/>
  <c r="D116" i="1"/>
  <c r="D125" i="1"/>
  <c r="C134" i="1"/>
  <c r="C152" i="1"/>
  <c r="H153" i="1"/>
  <c r="G158" i="1"/>
  <c r="H164" i="1"/>
  <c r="H170" i="1"/>
  <c r="I174" i="1"/>
  <c r="K166" i="1"/>
  <c r="E183" i="1"/>
  <c r="B193" i="1"/>
  <c r="B198" i="1"/>
  <c r="B208" i="1"/>
  <c r="B210" i="1"/>
  <c r="I227" i="1"/>
  <c r="C237" i="1"/>
  <c r="B249" i="1"/>
  <c r="B259" i="1"/>
  <c r="B167" i="1"/>
  <c r="H169" i="1"/>
  <c r="C178" i="1"/>
  <c r="D180" i="1"/>
  <c r="C187" i="1"/>
  <c r="B194" i="1"/>
  <c r="B199" i="1"/>
  <c r="B207" i="1"/>
  <c r="B218" i="1"/>
  <c r="D219" i="1"/>
  <c r="C228" i="1"/>
  <c r="E237" i="1"/>
  <c r="B251" i="1"/>
  <c r="C259" i="1"/>
  <c r="B7" i="1"/>
  <c r="D7" i="1"/>
  <c r="G12" i="1"/>
  <c r="I18" i="1"/>
  <c r="B26" i="1"/>
  <c r="K36" i="1"/>
  <c r="H44" i="1"/>
  <c r="B57" i="1"/>
  <c r="D62" i="1"/>
  <c r="I66" i="1"/>
  <c r="B75" i="1"/>
  <c r="C79" i="1"/>
  <c r="F84" i="1"/>
  <c r="D89" i="1"/>
  <c r="E96" i="1"/>
  <c r="G100" i="1"/>
  <c r="G116" i="1"/>
  <c r="C128" i="1"/>
  <c r="F134" i="1"/>
  <c r="F152" i="1"/>
  <c r="B156" i="1"/>
  <c r="K158" i="1"/>
  <c r="B171" i="1"/>
  <c r="H168" i="1"/>
  <c r="I178" i="1"/>
  <c r="F180" i="1"/>
  <c r="D187" i="1"/>
  <c r="B195" i="1"/>
  <c r="B201" i="1"/>
  <c r="B216" i="1"/>
  <c r="D205" i="1"/>
  <c r="E219" i="1"/>
  <c r="C229" i="1"/>
  <c r="B240" i="1"/>
  <c r="B258" i="1"/>
  <c r="B263" i="1"/>
  <c r="E8" i="1"/>
  <c r="K12" i="1"/>
  <c r="L18" i="1"/>
  <c r="C26" i="1"/>
  <c r="B40" i="1"/>
  <c r="K44" i="1"/>
  <c r="C57" i="1"/>
  <c r="F62" i="1"/>
  <c r="J66" i="1"/>
  <c r="G74" i="1"/>
  <c r="G79" i="1"/>
  <c r="I84" i="1"/>
  <c r="G89" i="1"/>
  <c r="H100" i="1"/>
  <c r="L116" i="1"/>
  <c r="D128" i="1"/>
  <c r="B146" i="1"/>
  <c r="H152" i="1"/>
  <c r="B159" i="1"/>
  <c r="C157" i="1"/>
  <c r="B170" i="1"/>
  <c r="B174" i="1"/>
  <c r="B181" i="1"/>
  <c r="I180" i="1"/>
  <c r="F187" i="1"/>
  <c r="B197" i="1"/>
  <c r="B200" i="1"/>
  <c r="B215" i="1"/>
  <c r="E205" i="1"/>
  <c r="B226" i="1"/>
  <c r="C230" i="1"/>
  <c r="B241" i="1"/>
  <c r="B262" i="1"/>
  <c r="C263" i="1"/>
  <c r="K45" i="1"/>
  <c r="G57" i="1"/>
  <c r="I62" i="1"/>
  <c r="K66" i="1"/>
  <c r="K79" i="1"/>
  <c r="L84" i="1"/>
  <c r="G91" i="1"/>
  <c r="L96" i="1"/>
  <c r="B115" i="1"/>
  <c r="L120" i="1"/>
  <c r="F128" i="1"/>
  <c r="C147" i="1"/>
  <c r="J152" i="1"/>
  <c r="B160" i="1"/>
  <c r="G157" i="1"/>
  <c r="B169" i="1"/>
  <c r="H174" i="1"/>
  <c r="B184" i="1"/>
  <c r="B186" i="1"/>
  <c r="D197" i="1"/>
  <c r="B203" i="1"/>
  <c r="B214" i="1"/>
  <c r="G205" i="1"/>
  <c r="B227" i="1"/>
  <c r="C241" i="1"/>
  <c r="B267" i="1"/>
  <c r="E263" i="1"/>
  <c r="I7" i="1"/>
  <c r="B10" i="1"/>
  <c r="F15" i="1"/>
  <c r="D22" i="1"/>
  <c r="B33" i="1"/>
  <c r="C41" i="1"/>
  <c r="C47" i="1"/>
  <c r="K57" i="1"/>
  <c r="L62" i="1"/>
  <c r="B67" i="1"/>
  <c r="J74" i="1"/>
  <c r="L79" i="1"/>
  <c r="B87" i="1"/>
  <c r="B94" i="1"/>
  <c r="L100" i="1"/>
  <c r="B117" i="1"/>
  <c r="B123" i="1"/>
  <c r="G128" i="1"/>
  <c r="D147" i="1"/>
  <c r="L152" i="1"/>
  <c r="C158" i="1"/>
  <c r="J157" i="1"/>
  <c r="B168" i="1"/>
  <c r="C174" i="1"/>
  <c r="D166" i="1"/>
  <c r="B188" i="1"/>
  <c r="B192" i="1"/>
  <c r="E197" i="1"/>
  <c r="B204" i="1"/>
  <c r="B213" i="1"/>
  <c r="C220" i="1"/>
  <c r="C227" i="1"/>
  <c r="C232" i="1"/>
  <c r="N232" i="1" s="1"/>
  <c r="B244" i="1"/>
  <c r="G236" i="1"/>
  <c r="B1" i="1"/>
  <c r="C1" i="1"/>
  <c r="E1" i="1"/>
  <c r="G1" i="1"/>
  <c r="I1" i="1"/>
  <c r="W134" i="4" l="1"/>
  <c r="B134" i="4"/>
  <c r="W133" i="4"/>
  <c r="B133" i="4"/>
  <c r="W132" i="4"/>
  <c r="B132" i="4"/>
  <c r="W131" i="4"/>
  <c r="B131" i="4"/>
  <c r="W130" i="4"/>
  <c r="B130" i="4"/>
  <c r="W129" i="4"/>
  <c r="B129" i="4"/>
  <c r="W128" i="4"/>
  <c r="B128" i="4"/>
  <c r="W127" i="4"/>
  <c r="B127" i="4"/>
  <c r="W126" i="4"/>
  <c r="B126" i="4"/>
  <c r="B125" i="4"/>
  <c r="W125" i="4"/>
  <c r="B124" i="4"/>
  <c r="W124" i="4"/>
  <c r="W123" i="4"/>
  <c r="B123"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AJ90" i="1" l="1"/>
  <c r="G13" i="1"/>
  <c r="F80" i="1" l="1"/>
  <c r="K80" i="1"/>
  <c r="J80" i="1"/>
  <c r="I80" i="1"/>
  <c r="H80" i="1"/>
  <c r="G80" i="1"/>
  <c r="E80" i="1"/>
  <c r="C80" i="1"/>
  <c r="R92" i="1"/>
  <c r="D221" i="1"/>
  <c r="AB179" i="4" l="1"/>
  <c r="AB180" i="4"/>
  <c r="AB181" i="4"/>
  <c r="AB182" i="4"/>
  <c r="AB183" i="4"/>
  <c r="AB184" i="4"/>
  <c r="H113" i="1" l="1"/>
  <c r="H112" i="1"/>
  <c r="H111" i="1"/>
  <c r="H110" i="1"/>
  <c r="H109" i="1"/>
  <c r="H108" i="1"/>
  <c r="H107" i="1"/>
  <c r="H106" i="1"/>
  <c r="B242" i="1" l="1"/>
  <c r="Z62" i="1" l="1"/>
  <c r="AB168" i="4" l="1"/>
  <c r="AB169" i="4"/>
  <c r="AB170" i="4"/>
  <c r="AB171" i="4"/>
  <c r="AB172" i="4"/>
  <c r="AB173" i="4"/>
  <c r="AB174" i="4"/>
  <c r="AB175" i="4"/>
  <c r="AB176" i="4"/>
  <c r="AB177" i="4"/>
  <c r="AB178" i="4"/>
  <c r="AB167" i="4"/>
  <c r="C256" i="1" l="1"/>
  <c r="E206" i="1"/>
  <c r="AN69" i="5"/>
  <c r="AM69" i="5"/>
  <c r="AL69" i="5"/>
  <c r="AM39" i="5"/>
  <c r="AL39" i="5"/>
  <c r="C264" i="1"/>
  <c r="C260" i="1"/>
  <c r="AB166" i="4"/>
  <c r="AB165" i="4"/>
  <c r="AB164" i="4"/>
  <c r="AB163" i="4"/>
  <c r="AB162" i="4"/>
  <c r="AB161" i="4"/>
  <c r="AB160" i="4"/>
  <c r="AB159" i="4"/>
  <c r="AB158" i="4"/>
  <c r="AB157" i="4"/>
  <c r="AB156" i="4"/>
  <c r="AB155" i="4"/>
  <c r="AB154" i="4"/>
  <c r="AB153" i="4"/>
  <c r="AB152" i="4"/>
  <c r="AB151" i="4"/>
  <c r="AB150" i="4"/>
  <c r="AB149" i="4"/>
  <c r="AB148" i="4"/>
  <c r="AB147" i="4"/>
  <c r="AB146"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B246" i="1"/>
  <c r="C246" i="1" s="1"/>
  <c r="C242" i="1"/>
  <c r="AF60" i="1"/>
  <c r="J5" i="1"/>
  <c r="N5" i="1" s="1"/>
  <c r="E176" i="1"/>
  <c r="E175" i="1"/>
  <c r="D176" i="1"/>
  <c r="D175" i="1"/>
  <c r="D174" i="1"/>
  <c r="E525" i="2"/>
  <c r="D525" i="2"/>
  <c r="C525" i="2"/>
  <c r="E524" i="2"/>
  <c r="D524" i="2"/>
  <c r="C524" i="2"/>
  <c r="E523" i="2"/>
  <c r="D523" i="2"/>
  <c r="C523" i="2"/>
  <c r="E522" i="2"/>
  <c r="D522" i="2"/>
  <c r="C522" i="2"/>
  <c r="E519" i="2"/>
  <c r="D519" i="2"/>
  <c r="C519" i="2"/>
  <c r="E518" i="2"/>
  <c r="D518" i="2"/>
  <c r="C518" i="2"/>
  <c r="D505" i="2"/>
  <c r="C505" i="2"/>
  <c r="D504" i="2"/>
  <c r="C504" i="2"/>
  <c r="D503" i="2"/>
  <c r="C503" i="2"/>
  <c r="D501" i="2"/>
  <c r="C501" i="2"/>
  <c r="D499" i="2"/>
  <c r="C499" i="2"/>
  <c r="D498" i="2"/>
  <c r="C498" i="2"/>
  <c r="E483" i="2"/>
  <c r="D483" i="2"/>
  <c r="C483" i="2"/>
  <c r="E478" i="2"/>
  <c r="D478" i="2"/>
  <c r="C478" i="2"/>
  <c r="Y133" i="1"/>
  <c r="AM27" i="2"/>
  <c r="AM26" i="2"/>
  <c r="AM25" i="2"/>
  <c r="AM24" i="2"/>
  <c r="AM23" i="2"/>
  <c r="C265" i="1"/>
  <c r="E265" i="1" s="1"/>
  <c r="E193" i="1"/>
  <c r="E194" i="1"/>
  <c r="F188" i="1"/>
  <c r="F159" i="1"/>
  <c r="G159" i="1"/>
  <c r="G160" i="1"/>
  <c r="M42" i="2"/>
  <c r="L42" i="2"/>
  <c r="M41" i="2"/>
  <c r="L41" i="2"/>
  <c r="L40" i="2"/>
  <c r="M40" i="2"/>
  <c r="AB145" i="4"/>
  <c r="Z60" i="1"/>
  <c r="P113" i="1"/>
  <c r="P112" i="1"/>
  <c r="P111" i="1"/>
  <c r="P110" i="1"/>
  <c r="P109" i="1"/>
  <c r="P108" i="1"/>
  <c r="P107" i="1"/>
  <c r="P106" i="1"/>
  <c r="P105" i="1"/>
  <c r="P104" i="1"/>
  <c r="P103" i="1"/>
  <c r="P102" i="1"/>
  <c r="P101" i="1"/>
  <c r="L102" i="1"/>
  <c r="L103" i="1"/>
  <c r="L104" i="1"/>
  <c r="L105" i="1"/>
  <c r="L106" i="1"/>
  <c r="L107" i="1"/>
  <c r="L108" i="1"/>
  <c r="L109" i="1"/>
  <c r="L110" i="1"/>
  <c r="L111" i="1"/>
  <c r="L112" i="1"/>
  <c r="L113" i="1"/>
  <c r="L101" i="1"/>
  <c r="L97" i="1"/>
  <c r="AD101" i="1" s="1"/>
  <c r="B81" i="4"/>
  <c r="B82" i="4"/>
  <c r="B83" i="4"/>
  <c r="B105" i="4"/>
  <c r="B106" i="4"/>
  <c r="B107" i="4"/>
  <c r="B122" i="4"/>
  <c r="B121" i="4"/>
  <c r="B120" i="4"/>
  <c r="AC42" i="1"/>
  <c r="AB42" i="1"/>
  <c r="AA42" i="1"/>
  <c r="Y42" i="1"/>
  <c r="Z42" i="1"/>
  <c r="B119" i="4"/>
  <c r="B118" i="4"/>
  <c r="B117" i="4"/>
  <c r="B116" i="4"/>
  <c r="B115" i="4"/>
  <c r="B114" i="4"/>
  <c r="B113" i="4"/>
  <c r="B112" i="4"/>
  <c r="B111" i="4"/>
  <c r="B110" i="4"/>
  <c r="B109" i="4"/>
  <c r="B108" i="4"/>
  <c r="B104" i="4"/>
  <c r="B103" i="4"/>
  <c r="B102" i="4"/>
  <c r="B101" i="4"/>
  <c r="B100" i="4"/>
  <c r="B99" i="4"/>
  <c r="B98" i="4"/>
  <c r="B97" i="4"/>
  <c r="B96" i="4"/>
  <c r="B95" i="4"/>
  <c r="B94" i="4"/>
  <c r="B93" i="4"/>
  <c r="B92" i="4"/>
  <c r="B91" i="4"/>
  <c r="B90" i="4"/>
  <c r="B89" i="4"/>
  <c r="B88" i="4"/>
  <c r="B87" i="4"/>
  <c r="B86" i="4"/>
  <c r="B85" i="4"/>
  <c r="B84"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E118" i="1"/>
  <c r="R60" i="1"/>
  <c r="AC206" i="1" s="1"/>
  <c r="R13" i="1"/>
  <c r="E264" i="1"/>
  <c r="L98" i="1"/>
  <c r="E98" i="1"/>
  <c r="Y256" i="1"/>
  <c r="AA117" i="1"/>
  <c r="AA118" i="1"/>
  <c r="R118" i="1"/>
  <c r="R117" i="1"/>
  <c r="F63" i="1"/>
  <c r="D28" i="3"/>
  <c r="K394" i="2"/>
  <c r="F394" i="2"/>
  <c r="E223" i="1"/>
  <c r="E222" i="1"/>
  <c r="E221" i="1"/>
  <c r="D220" i="1"/>
  <c r="AB206" i="1"/>
  <c r="AA206" i="1"/>
  <c r="Y206" i="1"/>
  <c r="Z206" i="1"/>
  <c r="E220" i="1"/>
  <c r="D193" i="1"/>
  <c r="Z61" i="1"/>
  <c r="Z55" i="1"/>
  <c r="AB55" i="1"/>
  <c r="AA55" i="1"/>
  <c r="C189" i="1"/>
  <c r="C188" i="1"/>
  <c r="E184" i="1"/>
  <c r="H181" i="1"/>
  <c r="F181" i="1"/>
  <c r="E57" i="2"/>
  <c r="E56" i="2"/>
  <c r="E55" i="2"/>
  <c r="E54" i="2"/>
  <c r="E53" i="2"/>
  <c r="E52" i="2"/>
  <c r="E51" i="2"/>
  <c r="E50" i="2"/>
  <c r="E169" i="1"/>
  <c r="D170" i="1"/>
  <c r="E167" i="1"/>
  <c r="E168" i="1"/>
  <c r="D168" i="1"/>
  <c r="D178" i="1"/>
  <c r="D169" i="1"/>
  <c r="D171" i="1"/>
  <c r="E171" i="1" s="1"/>
  <c r="E170" i="1"/>
  <c r="E36" i="2"/>
  <c r="E37" i="2"/>
  <c r="E38" i="2"/>
  <c r="E39" i="2"/>
  <c r="E40" i="2"/>
  <c r="E41" i="2"/>
  <c r="E42" i="2"/>
  <c r="E35" i="2"/>
  <c r="B2" i="1"/>
  <c r="R65" i="1"/>
  <c r="J67" i="1"/>
  <c r="AC75" i="1"/>
  <c r="AD75" i="1" s="1"/>
  <c r="Y75" i="1"/>
  <c r="D63" i="1"/>
  <c r="A8" i="3"/>
  <c r="G2" i="1"/>
  <c r="D26" i="3"/>
  <c r="H38" i="1"/>
  <c r="R31" i="1"/>
  <c r="R30" i="1"/>
  <c r="R29" i="1"/>
  <c r="R28" i="1"/>
  <c r="R27" i="1"/>
  <c r="AA52" i="1"/>
  <c r="AB52" i="1"/>
  <c r="Z53" i="1"/>
  <c r="AB53" i="1"/>
  <c r="AA53" i="1"/>
  <c r="Z52" i="1"/>
  <c r="N204" i="1" l="1"/>
  <c r="N59" i="1"/>
  <c r="C70" i="1"/>
  <c r="C67" i="1"/>
  <c r="I67" i="1" s="1"/>
  <c r="C68" i="1"/>
  <c r="I2" i="1"/>
  <c r="D214" i="1"/>
  <c r="D223" i="1"/>
  <c r="D222" i="1"/>
  <c r="C222" i="1" s="1"/>
  <c r="D208" i="1"/>
  <c r="D213" i="1"/>
  <c r="Z57" i="1"/>
  <c r="E214" i="1"/>
  <c r="D216" i="1"/>
  <c r="D207" i="1"/>
  <c r="E216" i="1"/>
  <c r="F210" i="1"/>
  <c r="E366" i="2"/>
  <c r="E371" i="2"/>
  <c r="E370" i="2"/>
  <c r="E365" i="2"/>
  <c r="E361" i="2"/>
  <c r="AB117" i="1"/>
  <c r="R116" i="1" s="1"/>
  <c r="B231" i="1"/>
  <c r="N231" i="1" s="1"/>
  <c r="G216" i="1"/>
  <c r="E211" i="1"/>
  <c r="D209" i="1"/>
  <c r="D215" i="1"/>
  <c r="D211" i="1"/>
  <c r="G215" i="1"/>
  <c r="D212" i="1"/>
  <c r="D210" i="1"/>
  <c r="AC61" i="1"/>
  <c r="G214" i="1"/>
  <c r="E212" i="1"/>
  <c r="D206" i="1"/>
  <c r="E215" i="1"/>
  <c r="G210" i="1"/>
  <c r="AD42" i="1"/>
  <c r="G212" i="1"/>
  <c r="E208" i="1"/>
  <c r="G211" i="1"/>
  <c r="E209" i="1"/>
  <c r="E213" i="1"/>
  <c r="E207" i="1"/>
  <c r="G206" i="1"/>
  <c r="G213" i="1"/>
  <c r="Z56" i="1"/>
  <c r="AA56" i="1"/>
  <c r="AB56" i="1"/>
  <c r="C2" i="1"/>
  <c r="AI53" i="1"/>
  <c r="Y113" i="1"/>
  <c r="I19" i="3"/>
  <c r="D68" i="1"/>
  <c r="Z75" i="1" s="1"/>
  <c r="AB75" i="1" s="1"/>
  <c r="AE75" i="1" s="1"/>
  <c r="C75" i="1" s="1"/>
  <c r="D75" i="1" s="1"/>
  <c r="E75" i="1" s="1"/>
  <c r="AG75" i="1" s="1"/>
  <c r="AG50" i="2" s="1"/>
  <c r="E360" i="2"/>
  <c r="AI52" i="1"/>
  <c r="E67" i="1"/>
  <c r="C71" i="1"/>
  <c r="AI94" i="1" l="1"/>
  <c r="AA90" i="1"/>
  <c r="AI95" i="1"/>
  <c r="N116" i="1"/>
  <c r="N90" i="1"/>
  <c r="N75" i="1"/>
  <c r="AC98" i="1"/>
  <c r="AC97" i="1" s="1"/>
  <c r="G97" i="1" s="1"/>
  <c r="C45" i="1"/>
  <c r="C231" i="1"/>
  <c r="F68" i="1"/>
  <c r="F67" i="1"/>
  <c r="AD182" i="4"/>
  <c r="Z158" i="4"/>
  <c r="Z166" i="4"/>
  <c r="AD164" i="4"/>
  <c r="AD165" i="4"/>
  <c r="AD163" i="4"/>
  <c r="Z159" i="4"/>
  <c r="Z157" i="4"/>
  <c r="AD161" i="4"/>
  <c r="Z160" i="4"/>
  <c r="AD158" i="4"/>
  <c r="AD166" i="4"/>
  <c r="AD157" i="4"/>
  <c r="Z165" i="4"/>
  <c r="Z161" i="4"/>
  <c r="AD159" i="4"/>
  <c r="AD162" i="4"/>
  <c r="Z162" i="4"/>
  <c r="AD160" i="4"/>
  <c r="Z163" i="4"/>
  <c r="Z164" i="4"/>
  <c r="AG51" i="2"/>
  <c r="AG53" i="2"/>
  <c r="AG52" i="2"/>
  <c r="Y67" i="1"/>
  <c r="E68" i="1"/>
  <c r="F70" i="1"/>
  <c r="Z58" i="1"/>
  <c r="N58" i="1" s="1"/>
  <c r="AD184" i="4"/>
  <c r="AD183" i="4"/>
  <c r="AD178" i="4"/>
  <c r="Z179" i="4"/>
  <c r="Z184" i="4"/>
  <c r="Z180" i="4"/>
  <c r="Z181" i="4"/>
  <c r="Z182" i="4"/>
  <c r="Z183" i="4"/>
  <c r="AD181" i="4"/>
  <c r="AD169" i="4"/>
  <c r="AD180" i="4"/>
  <c r="AD179" i="4"/>
  <c r="AD177" i="4"/>
  <c r="AE42" i="1"/>
  <c r="AB98" i="1"/>
  <c r="F98" i="1" s="1"/>
  <c r="AD170" i="4"/>
  <c r="AD172" i="4"/>
  <c r="Z152" i="4"/>
  <c r="Z156" i="4"/>
  <c r="AD145" i="4"/>
  <c r="AD174" i="4"/>
  <c r="G90" i="1"/>
  <c r="AD154" i="4"/>
  <c r="AD156" i="4"/>
  <c r="Z148" i="4"/>
  <c r="Z153" i="4"/>
  <c r="AD155" i="4"/>
  <c r="AD167" i="4"/>
  <c r="AD149" i="4"/>
  <c r="AD147" i="4"/>
  <c r="AD153" i="4"/>
  <c r="AD175" i="4"/>
  <c r="AD146" i="4"/>
  <c r="AD173" i="4"/>
  <c r="AD168" i="4"/>
  <c r="AD148" i="4"/>
  <c r="Z145" i="4"/>
  <c r="K67" i="1"/>
  <c r="Z175" i="4"/>
  <c r="Z168" i="4"/>
  <c r="Z176" i="4"/>
  <c r="Z170" i="4"/>
  <c r="Z178" i="4"/>
  <c r="Z171" i="4"/>
  <c r="Z167" i="4"/>
  <c r="Z172" i="4"/>
  <c r="Z174" i="4"/>
  <c r="Z169" i="4"/>
  <c r="Z177" i="4"/>
  <c r="Z173" i="4"/>
  <c r="Z151" i="4"/>
  <c r="Z155" i="4"/>
  <c r="Z149" i="4"/>
  <c r="Z154" i="4"/>
  <c r="Z147" i="4"/>
  <c r="Z146" i="4"/>
  <c r="Z150" i="4"/>
  <c r="AD151" i="4"/>
  <c r="AD171" i="4"/>
  <c r="AD150" i="4"/>
  <c r="AD152" i="4"/>
  <c r="AD176" i="4"/>
  <c r="Z97" i="1"/>
  <c r="D97" i="1" s="1"/>
  <c r="AB97" i="1"/>
  <c r="F97" i="1" s="1"/>
  <c r="B45" i="1"/>
  <c r="AF42" i="1"/>
  <c r="F154" i="1"/>
  <c r="Y154" i="1" s="1"/>
  <c r="AE24" i="2" s="1"/>
  <c r="F45" i="1"/>
  <c r="C97" i="1" s="1"/>
  <c r="Y97" i="1" s="1"/>
  <c r="Z98" i="1"/>
  <c r="D98" i="1" s="1"/>
  <c r="AD97" i="1"/>
  <c r="AA97" i="1"/>
  <c r="E97" i="1" s="1"/>
  <c r="H154" i="1"/>
  <c r="D154" i="1"/>
  <c r="K19" i="3"/>
  <c r="H104" i="1"/>
  <c r="H102" i="1"/>
  <c r="H101" i="1"/>
  <c r="H105" i="1"/>
  <c r="T117" i="1"/>
  <c r="T108" i="1"/>
  <c r="T111" i="1"/>
  <c r="T107" i="1"/>
  <c r="T118" i="1"/>
  <c r="H103" i="1"/>
  <c r="T109" i="1"/>
  <c r="AI92" i="1" l="1"/>
  <c r="AB92" i="1" s="1"/>
  <c r="D92" i="1" s="1"/>
  <c r="AF92" i="1"/>
  <c r="AG92" i="1"/>
  <c r="AI90" i="1"/>
  <c r="W161" i="4"/>
  <c r="V161" i="4" s="1"/>
  <c r="D189" i="1"/>
  <c r="D159" i="1"/>
  <c r="D160" i="1"/>
  <c r="W146" i="4"/>
  <c r="V146" i="4" s="1"/>
  <c r="W182" i="4"/>
  <c r="AG90" i="1"/>
  <c r="AF90" i="1"/>
  <c r="E195" i="1"/>
  <c r="K160" i="1"/>
  <c r="AI75" i="1"/>
  <c r="W178" i="4"/>
  <c r="V178" i="4" s="1"/>
  <c r="W160" i="4"/>
  <c r="V160" i="4" s="1"/>
  <c r="AH75" i="1"/>
  <c r="K75" i="1" s="1"/>
  <c r="W170" i="4"/>
  <c r="V170" i="4" s="1"/>
  <c r="G201" i="1"/>
  <c r="E201" i="1" s="1"/>
  <c r="J160" i="1"/>
  <c r="H160" i="1"/>
  <c r="F160" i="1"/>
  <c r="W165" i="4"/>
  <c r="V165" i="4" s="1"/>
  <c r="W179" i="4"/>
  <c r="W169" i="4"/>
  <c r="V169" i="4" s="1"/>
  <c r="W152" i="4"/>
  <c r="V152" i="4" s="1"/>
  <c r="W180" i="4"/>
  <c r="W164" i="4"/>
  <c r="V164" i="4" s="1"/>
  <c r="W183" i="4"/>
  <c r="W177" i="4"/>
  <c r="V177" i="4" s="1"/>
  <c r="W181" i="4"/>
  <c r="W184" i="4"/>
  <c r="W166" i="4"/>
  <c r="V166" i="4" s="1"/>
  <c r="W151" i="4"/>
  <c r="V151" i="4" s="1"/>
  <c r="W163" i="4"/>
  <c r="V163" i="4" s="1"/>
  <c r="W174" i="4"/>
  <c r="V174" i="4" s="1"/>
  <c r="W153" i="4"/>
  <c r="V153" i="4" s="1"/>
  <c r="W175" i="4"/>
  <c r="V175" i="4" s="1"/>
  <c r="W172" i="4"/>
  <c r="V172" i="4" s="1"/>
  <c r="W167" i="4"/>
  <c r="V167" i="4" s="1"/>
  <c r="W155" i="4"/>
  <c r="V155" i="4" s="1"/>
  <c r="W148" i="4"/>
  <c r="V148" i="4" s="1"/>
  <c r="W158" i="4"/>
  <c r="V158" i="4" s="1"/>
  <c r="W156" i="4"/>
  <c r="V156" i="4" s="1"/>
  <c r="W162" i="4"/>
  <c r="V162" i="4" s="1"/>
  <c r="W157" i="4"/>
  <c r="W145" i="4"/>
  <c r="V145" i="4" s="1"/>
  <c r="W159" i="4"/>
  <c r="V159" i="4" s="1"/>
  <c r="W147" i="4"/>
  <c r="V147" i="4" s="1"/>
  <c r="W173" i="4"/>
  <c r="V173" i="4" s="1"/>
  <c r="W168" i="4"/>
  <c r="V168" i="4" s="1"/>
  <c r="W171" i="4"/>
  <c r="V171" i="4" s="1"/>
  <c r="W176" i="4"/>
  <c r="V176" i="4" s="1"/>
  <c r="W154" i="4"/>
  <c r="V154" i="4" s="1"/>
  <c r="W149" i="4"/>
  <c r="V149" i="4" s="1"/>
  <c r="G58" i="1"/>
  <c r="AE60" i="1"/>
  <c r="I37" i="2"/>
  <c r="W150" i="4"/>
  <c r="V150" i="4" s="1"/>
  <c r="E117" i="1"/>
  <c r="Z133" i="1"/>
  <c r="G98" i="1"/>
  <c r="Q104" i="1"/>
  <c r="N104" i="1" s="1"/>
  <c r="Q103" i="1"/>
  <c r="N103" i="1" s="1"/>
  <c r="Y148" i="1"/>
  <c r="C148" i="1" s="1"/>
  <c r="B482" i="2"/>
  <c r="G482" i="2" s="1"/>
  <c r="Q102" i="1"/>
  <c r="N102" i="1" s="1"/>
  <c r="B514" i="2"/>
  <c r="G514" i="2" s="1"/>
  <c r="M514" i="2" s="1"/>
  <c r="Q110" i="1"/>
  <c r="N110" i="1" s="1"/>
  <c r="C48" i="1"/>
  <c r="E2" i="1" s="1"/>
  <c r="B525" i="2"/>
  <c r="G525" i="2" s="1"/>
  <c r="M521" i="2" s="1"/>
  <c r="B504" i="2"/>
  <c r="G504" i="2" s="1"/>
  <c r="Q101" i="1"/>
  <c r="N101" i="1" s="1"/>
  <c r="B503" i="2"/>
  <c r="G503" i="2" s="1"/>
  <c r="AF117" i="1"/>
  <c r="E198" i="1"/>
  <c r="B519" i="2"/>
  <c r="G519" i="2" s="1"/>
  <c r="AE117" i="1"/>
  <c r="AH52" i="1"/>
  <c r="H159" i="1"/>
  <c r="F189" i="1"/>
  <c r="B495" i="2"/>
  <c r="G495" i="2" s="1"/>
  <c r="B493" i="2"/>
  <c r="G493" i="2" s="1"/>
  <c r="M493" i="2" s="1"/>
  <c r="B520" i="2"/>
  <c r="G520" i="2" s="1"/>
  <c r="B516" i="2"/>
  <c r="G516" i="2" s="1"/>
  <c r="AG117" i="1"/>
  <c r="AA133" i="1"/>
  <c r="B527" i="2"/>
  <c r="G527" i="2" s="1"/>
  <c r="Y117" i="1"/>
  <c r="I56" i="2"/>
  <c r="B505" i="2"/>
  <c r="G505" i="2" s="1"/>
  <c r="M501" i="2" s="1"/>
  <c r="I50" i="2"/>
  <c r="B499" i="2"/>
  <c r="G499" i="2" s="1"/>
  <c r="B522" i="2"/>
  <c r="G522" i="2" s="1"/>
  <c r="M519" i="2" s="1"/>
  <c r="J159" i="1"/>
  <c r="B515" i="2"/>
  <c r="G515" i="2" s="1"/>
  <c r="AD26" i="2"/>
  <c r="AE25" i="2"/>
  <c r="AE22" i="2"/>
  <c r="AE23" i="2"/>
  <c r="I51" i="2"/>
  <c r="AD20" i="2"/>
  <c r="AD24" i="2"/>
  <c r="Y118" i="1"/>
  <c r="AE27" i="2"/>
  <c r="I53" i="2"/>
  <c r="I39" i="2"/>
  <c r="AD22" i="2"/>
  <c r="Q107" i="1"/>
  <c r="N107" i="1" s="1"/>
  <c r="Q109" i="1"/>
  <c r="N109" i="1" s="1"/>
  <c r="B494" i="2"/>
  <c r="G494" i="2" s="1"/>
  <c r="AH53" i="1"/>
  <c r="G199" i="1"/>
  <c r="Q112" i="1"/>
  <c r="N112" i="1" s="1"/>
  <c r="Q106" i="1"/>
  <c r="N106" i="1" s="1"/>
  <c r="AL52" i="1"/>
  <c r="AE26" i="2"/>
  <c r="AD13" i="2"/>
  <c r="I55" i="2"/>
  <c r="B478" i="2"/>
  <c r="G478" i="2" s="1"/>
  <c r="B498" i="2"/>
  <c r="G498" i="2" s="1"/>
  <c r="M497" i="2" s="1"/>
  <c r="Q113" i="1"/>
  <c r="N113" i="1" s="1"/>
  <c r="D198" i="1"/>
  <c r="B523" i="2"/>
  <c r="G523" i="2" s="1"/>
  <c r="Q105" i="1"/>
  <c r="N105" i="1" s="1"/>
  <c r="B474" i="2"/>
  <c r="G474" i="2" s="1"/>
  <c r="AL53" i="1"/>
  <c r="I52" i="2"/>
  <c r="AD27" i="2"/>
  <c r="I38" i="2"/>
  <c r="J164" i="1"/>
  <c r="K38" i="1"/>
  <c r="N38" i="1" s="1"/>
  <c r="AF118" i="1"/>
  <c r="B483" i="2"/>
  <c r="G483" i="2" s="1"/>
  <c r="AE118" i="1"/>
  <c r="L118" i="1" s="1"/>
  <c r="K159" i="1"/>
  <c r="AE20" i="2"/>
  <c r="W101" i="1"/>
  <c r="AE21" i="2"/>
  <c r="Q108" i="1"/>
  <c r="N108" i="1" s="1"/>
  <c r="B501" i="2"/>
  <c r="G501" i="2" s="1"/>
  <c r="B518" i="2"/>
  <c r="G518" i="2" s="1"/>
  <c r="M517" i="2" s="1"/>
  <c r="Q111" i="1"/>
  <c r="N111" i="1" s="1"/>
  <c r="B481" i="2"/>
  <c r="G481" i="2" s="1"/>
  <c r="M478" i="2" s="1"/>
  <c r="B524" i="2"/>
  <c r="G524" i="2" s="1"/>
  <c r="E199" i="1"/>
  <c r="I42" i="2"/>
  <c r="AD21" i="2"/>
  <c r="F125" i="1"/>
  <c r="B475" i="2"/>
  <c r="G475" i="2" s="1"/>
  <c r="I40" i="2"/>
  <c r="Y13" i="2"/>
  <c r="I54" i="2"/>
  <c r="I35" i="2"/>
  <c r="E174" i="1"/>
  <c r="I36" i="2"/>
  <c r="I41" i="2"/>
  <c r="I57" i="2"/>
  <c r="AD23" i="2"/>
  <c r="AD25" i="2"/>
  <c r="T102" i="1"/>
  <c r="T110" i="1"/>
  <c r="T106" i="1"/>
  <c r="T103" i="1"/>
  <c r="T101" i="1"/>
  <c r="T105" i="1"/>
  <c r="V101" i="1"/>
  <c r="T112" i="1"/>
  <c r="T92" i="1"/>
  <c r="T104" i="1"/>
  <c r="T113" i="1"/>
  <c r="T90" i="1"/>
  <c r="E473" i="2" l="1"/>
  <c r="D473" i="2"/>
  <c r="D484" i="2" s="1"/>
  <c r="C473" i="2"/>
  <c r="E200" i="1"/>
  <c r="N199" i="1"/>
  <c r="V157" i="4"/>
  <c r="AL90" i="1"/>
  <c r="C497" i="2"/>
  <c r="B497" i="2" s="1"/>
  <c r="G497" i="2" s="1"/>
  <c r="M496" i="2" s="1"/>
  <c r="C500" i="2"/>
  <c r="D476" i="2"/>
  <c r="Y90" i="1"/>
  <c r="AJ52" i="1"/>
  <c r="Y92" i="1"/>
  <c r="AK52" i="1"/>
  <c r="E480" i="2"/>
  <c r="E486" i="2"/>
  <c r="C502" i="2"/>
  <c r="B502" i="2" s="1"/>
  <c r="G502" i="2" s="1"/>
  <c r="M499" i="2" s="1"/>
  <c r="C486" i="2"/>
  <c r="C517" i="2"/>
  <c r="C521" i="2" s="1"/>
  <c r="B485" i="2"/>
  <c r="G485" i="2" s="1"/>
  <c r="D486" i="2"/>
  <c r="C506" i="2"/>
  <c r="B506" i="2" s="1"/>
  <c r="G506" i="2" s="1"/>
  <c r="D500" i="2"/>
  <c r="D507" i="2" s="1"/>
  <c r="D496" i="2"/>
  <c r="D517" i="2"/>
  <c r="D526" i="2" s="1"/>
  <c r="E476" i="2"/>
  <c r="D480" i="2"/>
  <c r="D497" i="2"/>
  <c r="C480" i="2"/>
  <c r="C484" i="2"/>
  <c r="C476" i="2"/>
  <c r="D502" i="2"/>
  <c r="C496" i="2"/>
  <c r="B496" i="2" s="1"/>
  <c r="G496" i="2" s="1"/>
  <c r="M495" i="2" s="1"/>
  <c r="E517" i="2"/>
  <c r="E521" i="2" s="1"/>
  <c r="D506" i="2"/>
  <c r="T114" i="1"/>
  <c r="T124" i="1" s="1"/>
  <c r="F124" i="1" s="1"/>
  <c r="AB90" i="1"/>
  <c r="D90" i="1" s="1"/>
  <c r="D24" i="3"/>
  <c r="L117" i="1"/>
  <c r="L121" i="1" s="1"/>
  <c r="M479" i="2"/>
  <c r="M500" i="2"/>
  <c r="AJ53" i="1"/>
  <c r="M515" i="2"/>
  <c r="J174" i="1"/>
  <c r="M520" i="2"/>
  <c r="J170" i="1"/>
  <c r="K167" i="1"/>
  <c r="K168" i="1"/>
  <c r="K169" i="1"/>
  <c r="J168" i="1"/>
  <c r="J171" i="1"/>
  <c r="K171" i="1" s="1"/>
  <c r="J178" i="1"/>
  <c r="I181" i="1" s="1"/>
  <c r="J169" i="1"/>
  <c r="M494" i="2"/>
  <c r="K174" i="1"/>
  <c r="K170" i="1"/>
  <c r="AK53" i="1"/>
  <c r="M474" i="2"/>
  <c r="E477" i="2"/>
  <c r="C142" i="1"/>
  <c r="C135" i="1"/>
  <c r="C139" i="1"/>
  <c r="D142" i="1" l="1"/>
  <c r="D139" i="1"/>
  <c r="D135" i="1"/>
  <c r="B480" i="2"/>
  <c r="G480" i="2" s="1"/>
  <c r="B476" i="2"/>
  <c r="G476" i="2" s="1"/>
  <c r="M475" i="2" s="1"/>
  <c r="B486" i="2"/>
  <c r="G486" i="2" s="1"/>
  <c r="M481" i="2" s="1"/>
  <c r="C507" i="2"/>
  <c r="B507" i="2" s="1"/>
  <c r="G507" i="2" s="1"/>
  <c r="M502" i="2" s="1"/>
  <c r="B500" i="2"/>
  <c r="G500" i="2" s="1"/>
  <c r="M498" i="2" s="1"/>
  <c r="AM52" i="1"/>
  <c r="L44" i="1" s="1"/>
  <c r="B473" i="2"/>
  <c r="G473" i="2" s="1"/>
  <c r="M473" i="2" s="1"/>
  <c r="B479" i="2"/>
  <c r="G479" i="2" s="1"/>
  <c r="C154" i="1"/>
  <c r="L154" i="1" s="1"/>
  <c r="C526" i="2"/>
  <c r="C477" i="2"/>
  <c r="D477" i="2"/>
  <c r="E526" i="2"/>
  <c r="D521" i="2"/>
  <c r="B521" i="2" s="1"/>
  <c r="G521" i="2" s="1"/>
  <c r="M518" i="2" s="1"/>
  <c r="B517" i="2"/>
  <c r="G517" i="2" s="1"/>
  <c r="E484" i="2"/>
  <c r="B484" i="2" s="1"/>
  <c r="G484" i="2" s="1"/>
  <c r="M480" i="2" s="1"/>
  <c r="AM53" i="1"/>
  <c r="L45" i="1" s="1"/>
  <c r="C143" i="1"/>
  <c r="C137" i="1"/>
  <c r="B477" i="2" l="1"/>
  <c r="G477" i="2" s="1"/>
  <c r="M476" i="2" s="1"/>
  <c r="M477" i="2"/>
  <c r="D143" i="1"/>
  <c r="D137" i="1"/>
  <c r="M504" i="2"/>
  <c r="G508" i="2"/>
  <c r="B526" i="2"/>
  <c r="G526" i="2" s="1"/>
  <c r="M522" i="2" s="1"/>
  <c r="M516" i="2"/>
  <c r="C138" i="1"/>
  <c r="C141" i="1"/>
  <c r="C140" i="1"/>
  <c r="C144" i="1"/>
  <c r="M483" i="2" l="1"/>
  <c r="D141" i="1"/>
  <c r="D140" i="1"/>
  <c r="G487" i="2"/>
  <c r="D144" i="1"/>
  <c r="G528" i="2"/>
  <c r="D138" i="1"/>
  <c r="M524" i="2"/>
  <c r="C136" i="1"/>
  <c r="D13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 Giuseppe Barozzi</author>
  </authors>
  <commentList>
    <comment ref="H38" authorId="0" shapeId="0" xr:uid="{00000000-0006-0000-0000-000001000000}">
      <text>
        <r>
          <rPr>
            <b/>
            <sz val="9"/>
            <color indexed="81"/>
            <rFont val="Tahoma"/>
            <family val="2"/>
          </rPr>
          <t>NON COMPILARE</t>
        </r>
      </text>
    </comment>
    <comment ref="L44" authorId="0" shapeId="0" xr:uid="{00000000-0006-0000-0000-000002000000}">
      <text>
        <r>
          <rPr>
            <b/>
            <sz val="9"/>
            <color indexed="81"/>
            <rFont val="Tahoma"/>
            <family val="2"/>
          </rPr>
          <t xml:space="preserve">NON COMPILARE
</t>
        </r>
        <r>
          <rPr>
            <sz val="9"/>
            <color indexed="81"/>
            <rFont val="Tahoma"/>
            <family val="2"/>
          </rPr>
          <t>Distanza superficie esterna pannello frontale testata comando - superficie esterna pannello posteriore testata rinvio, misurata sul percorso della catena.</t>
        </r>
      </text>
    </comment>
    <comment ref="H45" authorId="0" shapeId="0" xr:uid="{00000000-0006-0000-0000-000003000000}">
      <text>
        <r>
          <rPr>
            <b/>
            <sz val="9"/>
            <color indexed="81"/>
            <rFont val="Tahoma"/>
            <family val="2"/>
          </rPr>
          <t>H</t>
        </r>
        <r>
          <rPr>
            <sz val="9"/>
            <color indexed="81"/>
            <rFont val="Tahoma"/>
            <family val="2"/>
          </rPr>
          <t xml:space="preserve"> orizzontale: nessuna curva
</t>
        </r>
        <r>
          <rPr>
            <b/>
            <sz val="9"/>
            <color indexed="81"/>
            <rFont val="Tahoma"/>
            <family val="2"/>
          </rPr>
          <t>V</t>
        </r>
        <r>
          <rPr>
            <sz val="9"/>
            <color indexed="81"/>
            <rFont val="Tahoma"/>
            <family val="2"/>
          </rPr>
          <t xml:space="preserve"> verticale: solo curva inferiore
</t>
        </r>
        <r>
          <rPr>
            <b/>
            <sz val="9"/>
            <color indexed="81"/>
            <rFont val="Tahoma"/>
            <family val="2"/>
          </rPr>
          <t>C</t>
        </r>
        <r>
          <rPr>
            <sz val="9"/>
            <color indexed="81"/>
            <rFont val="Tahoma"/>
            <family val="2"/>
          </rPr>
          <t xml:space="preserve"> combinata: curva inferiore e superiore</t>
        </r>
      </text>
    </comment>
    <comment ref="L45" authorId="0" shapeId="0" xr:uid="{00000000-0006-0000-0000-000004000000}">
      <text>
        <r>
          <rPr>
            <b/>
            <sz val="9"/>
            <color indexed="81"/>
            <rFont val="Tahoma"/>
            <family val="2"/>
          </rPr>
          <t xml:space="preserve">NON COMPILARE
</t>
        </r>
        <r>
          <rPr>
            <sz val="9"/>
            <color indexed="81"/>
            <rFont val="Tahoma"/>
            <family val="2"/>
          </rPr>
          <t>Distanza tra gli alberi di comando e rinvio misurata sul percorso della catena.</t>
        </r>
      </text>
    </comment>
    <comment ref="E56" authorId="0" shapeId="0" xr:uid="{00000000-0006-0000-0000-000005000000}">
      <text>
        <r>
          <rPr>
            <b/>
            <sz val="8"/>
            <color indexed="81"/>
            <rFont val="Tahoma"/>
            <family val="2"/>
          </rPr>
          <t>Motoriduttore Pendolare:</t>
        </r>
        <r>
          <rPr>
            <sz val="8"/>
            <color indexed="81"/>
            <rFont val="Tahoma"/>
            <family val="2"/>
          </rPr>
          <t xml:space="preserve">
KA, KH
</t>
        </r>
        <r>
          <rPr>
            <b/>
            <sz val="8"/>
            <color indexed="81"/>
            <rFont val="Tahoma"/>
            <family val="2"/>
          </rPr>
          <t xml:space="preserve">
Trasm. catena V:</t>
        </r>
        <r>
          <rPr>
            <sz val="8"/>
            <color indexed="81"/>
            <rFont val="Tahoma"/>
            <family val="2"/>
          </rPr>
          <t xml:space="preserve">
Trasmissione a catena Standard (VERTICALE)
</t>
        </r>
        <r>
          <rPr>
            <b/>
            <sz val="8"/>
            <color indexed="81"/>
            <rFont val="Tahoma"/>
            <family val="2"/>
          </rPr>
          <t>Trasm. catena H:</t>
        </r>
        <r>
          <rPr>
            <sz val="8"/>
            <color indexed="81"/>
            <rFont val="Tahoma"/>
            <family val="2"/>
          </rPr>
          <t xml:space="preserve">
Trasmissione a catena con basamento frontale (ORIZZONTALE) - </t>
        </r>
        <r>
          <rPr>
            <u/>
            <sz val="8"/>
            <color indexed="81"/>
            <rFont val="Tahoma"/>
            <family val="2"/>
          </rPr>
          <t>Soluzione da evitare</t>
        </r>
      </text>
    </comment>
    <comment ref="G58" authorId="0" shapeId="0" xr:uid="{00000000-0006-0000-0000-000006000000}">
      <text>
        <r>
          <rPr>
            <sz val="8"/>
            <color indexed="81"/>
            <rFont val="Tahoma"/>
            <family val="2"/>
          </rPr>
          <t>La forma del motoriduttore è definita solo dopo l'immissione dei valori di ampiezza delle eventuali curve o del valore impostato nella casella inclinazione (solo macchine H).</t>
        </r>
      </text>
    </comment>
    <comment ref="C60" authorId="0" shapeId="0" xr:uid="{00000000-0006-0000-0000-000007000000}">
      <text>
        <r>
          <rPr>
            <sz val="8"/>
            <color indexed="81"/>
            <rFont val="Tahoma"/>
            <family val="2"/>
          </rPr>
          <t>Copiare la stringa dall'elenco motoriduttori ed incollarla qui.</t>
        </r>
      </text>
    </comment>
    <comment ref="G74" authorId="0" shapeId="0" xr:uid="{00000000-0006-0000-0000-000008000000}">
      <text>
        <r>
          <rPr>
            <b/>
            <sz val="8"/>
            <color indexed="81"/>
            <rFont val="Tahoma"/>
            <family val="2"/>
          </rPr>
          <t>8.8</t>
        </r>
        <r>
          <rPr>
            <sz val="8"/>
            <color indexed="81"/>
            <rFont val="Tahoma"/>
            <family val="2"/>
          </rPr>
          <t xml:space="preserve"> - Spine da vite standard
</t>
        </r>
        <r>
          <rPr>
            <b/>
            <sz val="8"/>
            <color indexed="81"/>
            <rFont val="Tahoma"/>
            <family val="2"/>
          </rPr>
          <t>39NiCrMo3</t>
        </r>
        <r>
          <rPr>
            <sz val="8"/>
            <color indexed="81"/>
            <rFont val="Tahoma"/>
            <family val="2"/>
          </rPr>
          <t xml:space="preserve"> - Spine speciali</t>
        </r>
      </text>
    </comment>
    <comment ref="G80" authorId="0" shapeId="0" xr:uid="{82AC73FC-253B-48C9-B9E3-22226220ED67}">
      <text>
        <r>
          <rPr>
            <sz val="8"/>
            <color indexed="81"/>
            <rFont val="Tahoma"/>
            <family val="2"/>
          </rPr>
          <t>La forma del motoriduttore è definita solo dopo l'immissione dei valori di ampiezza delle eventuali curve o del valore impostato nella casella inclinazione (solo macchine H).</t>
        </r>
      </text>
    </comment>
    <comment ref="C82" authorId="0" shapeId="0" xr:uid="{0767C502-4F71-49C8-B70F-7B3C702186FB}">
      <text>
        <r>
          <rPr>
            <sz val="8"/>
            <color indexed="81"/>
            <rFont val="Tahoma"/>
            <family val="2"/>
          </rPr>
          <t>Copiare la stringa dall'elenco motoriduttori ed incollarla qui.</t>
        </r>
      </text>
    </comment>
    <comment ref="Y89" authorId="0" shapeId="0" xr:uid="{00000000-0006-0000-0000-000009000000}">
      <text>
        <r>
          <rPr>
            <sz val="9"/>
            <color indexed="81"/>
            <rFont val="Tahoma"/>
            <family val="2"/>
          </rPr>
          <t>L allestimento</t>
        </r>
      </text>
    </comment>
    <comment ref="D90" authorId="0" shapeId="0" xr:uid="{00000000-0006-0000-0000-00000A000000}">
      <text>
        <r>
          <rPr>
            <sz val="8"/>
            <color indexed="81"/>
            <rFont val="Tahoma"/>
            <family val="2"/>
          </rPr>
          <t xml:space="preserve">Il numero di disegno della testata di comando è visualizzato quando siano definiti:
- </t>
        </r>
        <r>
          <rPr>
            <b/>
            <sz val="8"/>
            <color indexed="81"/>
            <rFont val="Tahoma"/>
            <family val="2"/>
          </rPr>
          <t>tipo di macchina</t>
        </r>
        <r>
          <rPr>
            <sz val="8"/>
            <color indexed="81"/>
            <rFont val="Tahoma"/>
            <family val="2"/>
          </rPr>
          <t xml:space="preserve"> (codice macchina)
- </t>
        </r>
        <r>
          <rPr>
            <b/>
            <sz val="8"/>
            <color indexed="81"/>
            <rFont val="Tahoma"/>
            <family val="2"/>
          </rPr>
          <t>motoriduttore</t>
        </r>
        <r>
          <rPr>
            <sz val="8"/>
            <color indexed="81"/>
            <rFont val="Tahoma"/>
            <family val="2"/>
          </rPr>
          <t xml:space="preserve"> (tipo, quantità e lato di installazione);
- </t>
        </r>
        <r>
          <rPr>
            <b/>
            <sz val="8"/>
            <color indexed="81"/>
            <rFont val="Tahoma"/>
            <family val="2"/>
          </rPr>
          <t>diametro del sopporto di comando</t>
        </r>
        <r>
          <rPr>
            <sz val="8"/>
            <color indexed="81"/>
            <rFont val="Tahoma"/>
            <family val="2"/>
          </rPr>
          <t>.</t>
        </r>
      </text>
    </comment>
    <comment ref="G90" authorId="0" shapeId="0" xr:uid="{00000000-0006-0000-0000-00000B000000}">
      <text>
        <r>
          <rPr>
            <sz val="8"/>
            <color indexed="81"/>
            <rFont val="Tahoma"/>
            <family val="2"/>
          </rPr>
          <t xml:space="preserve">L'inclinazione della testata di comando è definita solo dopo l'immissione dei valori di ampiezza delle eventuali curve.
Per macchine H è il valore impostato nella casella </t>
        </r>
        <r>
          <rPr>
            <b/>
            <sz val="8"/>
            <color indexed="81"/>
            <rFont val="Tahoma"/>
            <family val="2"/>
          </rPr>
          <t>inclinazione (solo H).</t>
        </r>
        <r>
          <rPr>
            <sz val="9"/>
            <color indexed="81"/>
            <rFont val="Tahoma"/>
            <family val="2"/>
          </rPr>
          <t xml:space="preserve">
</t>
        </r>
      </text>
    </comment>
    <comment ref="D92" authorId="0" shapeId="0" xr:uid="{00000000-0006-0000-0000-00000C000000}">
      <text>
        <r>
          <rPr>
            <sz val="8"/>
            <color indexed="81"/>
            <rFont val="Tahoma"/>
            <family val="2"/>
          </rPr>
          <t xml:space="preserve">Il numero di disegno della testata di rinvio è visualizzato quando siano definiti:
- </t>
        </r>
        <r>
          <rPr>
            <b/>
            <sz val="8"/>
            <color indexed="81"/>
            <rFont val="Tahoma"/>
            <family val="2"/>
          </rPr>
          <t>tipo di macchina</t>
        </r>
        <r>
          <rPr>
            <sz val="8"/>
            <color indexed="81"/>
            <rFont val="Tahoma"/>
            <family val="2"/>
          </rPr>
          <t xml:space="preserve"> (codice macchina)</t>
        </r>
      </text>
    </comment>
    <comment ref="AB92" authorId="0" shapeId="0" xr:uid="{6C13F1AA-F53C-4C10-8FD9-981C9D6D9A05}">
      <text>
        <r>
          <rPr>
            <sz val="9"/>
            <color indexed="81"/>
            <rFont val="Tahoma"/>
            <family val="2"/>
          </rPr>
          <t>=CONCATENA(CERCA.VERT(mod_base;macchina_dati;2;FALSO);".";SINISTRA(mod_base;2);".05.";cod_allestimento;".00.00")</t>
        </r>
      </text>
    </comment>
    <comment ref="AI92" authorId="0" shapeId="0" xr:uid="{840702F2-E801-470E-8719-A05A4ABE632C}">
      <text>
        <r>
          <rPr>
            <b/>
            <sz val="9"/>
            <color indexed="81"/>
            <rFont val="Tahoma"/>
            <family val="2"/>
          </rPr>
          <t>PROVVISORIO</t>
        </r>
      </text>
    </comment>
    <comment ref="D100" authorId="0" shapeId="0" xr:uid="{00000000-0006-0000-0000-00000D000000}">
      <text>
        <r>
          <rPr>
            <b/>
            <sz val="9"/>
            <color indexed="81"/>
            <rFont val="Tahoma"/>
            <family val="2"/>
          </rPr>
          <t>H</t>
        </r>
        <r>
          <rPr>
            <sz val="9"/>
            <color indexed="81"/>
            <rFont val="Tahoma"/>
            <family val="2"/>
          </rPr>
          <t xml:space="preserve"> orizzontale
</t>
        </r>
        <r>
          <rPr>
            <b/>
            <sz val="9"/>
            <color indexed="81"/>
            <rFont val="Tahoma"/>
            <family val="2"/>
          </rPr>
          <t>V</t>
        </r>
        <r>
          <rPr>
            <sz val="9"/>
            <color indexed="81"/>
            <rFont val="Tahoma"/>
            <family val="2"/>
          </rPr>
          <t xml:space="preserve"> verticale
</t>
        </r>
        <r>
          <rPr>
            <b/>
            <sz val="9"/>
            <color indexed="81"/>
            <rFont val="Tahoma"/>
            <family val="2"/>
          </rPr>
          <t>L</t>
        </r>
        <r>
          <rPr>
            <sz val="9"/>
            <color indexed="81"/>
            <rFont val="Tahoma"/>
            <family val="2"/>
          </rPr>
          <t xml:space="preserve"> carico
</t>
        </r>
        <r>
          <rPr>
            <b/>
            <sz val="9"/>
            <color indexed="81"/>
            <rFont val="Tahoma"/>
            <family val="2"/>
          </rPr>
          <t>M</t>
        </r>
        <r>
          <rPr>
            <sz val="9"/>
            <color indexed="81"/>
            <rFont val="Tahoma"/>
            <family val="2"/>
          </rPr>
          <t xml:space="preserve"> ausiliaria
</t>
        </r>
      </text>
    </comment>
    <comment ref="F100" authorId="0" shapeId="0" xr:uid="{00000000-0006-0000-0000-00000E000000}">
      <text>
        <r>
          <rPr>
            <sz val="9"/>
            <color indexed="81"/>
            <rFont val="Tahoma"/>
            <family val="2"/>
          </rPr>
          <t>Lunghezza carico</t>
        </r>
      </text>
    </comment>
    <comment ref="G100" authorId="0" shapeId="0" xr:uid="{00000000-0006-0000-0000-00000F000000}">
      <text>
        <r>
          <rPr>
            <sz val="9"/>
            <color indexed="81"/>
            <rFont val="Tahoma"/>
            <family val="2"/>
          </rPr>
          <t>Larghezza carico</t>
        </r>
      </text>
    </comment>
    <comment ref="Y112" authorId="0" shapeId="0" xr:uid="{00000000-0006-0000-0000-000010000000}">
      <text>
        <r>
          <rPr>
            <sz val="9"/>
            <color indexed="81"/>
            <rFont val="Tahoma"/>
            <family val="2"/>
          </rPr>
          <t>L allestimento</t>
        </r>
      </text>
    </comment>
    <comment ref="Y116" authorId="0" shapeId="0" xr:uid="{00000000-0006-0000-0000-000011000000}">
      <text>
        <r>
          <rPr>
            <sz val="9"/>
            <color indexed="81"/>
            <rFont val="Tahoma"/>
            <family val="2"/>
          </rPr>
          <t>L allestimento</t>
        </r>
      </text>
    </comment>
    <comment ref="AE117" authorId="0" shapeId="0" xr:uid="{00000000-0006-0000-0000-000012000000}">
      <text>
        <r>
          <rPr>
            <b/>
            <sz val="9"/>
            <color indexed="81"/>
            <rFont val="Tahoma"/>
            <family val="2"/>
          </rPr>
          <t>controguida</t>
        </r>
      </text>
    </comment>
    <comment ref="AE118" authorId="0" shapeId="0" xr:uid="{00000000-0006-0000-0000-000013000000}">
      <text>
        <r>
          <rPr>
            <b/>
            <sz val="9"/>
            <color indexed="81"/>
            <rFont val="Tahoma"/>
            <family val="2"/>
          </rPr>
          <t>guida</t>
        </r>
      </text>
    </comment>
    <comment ref="L120" authorId="0" shapeId="0" xr:uid="{00000000-0006-0000-0000-000014000000}">
      <text>
        <r>
          <rPr>
            <sz val="9"/>
            <color indexed="81"/>
            <rFont val="Tahoma"/>
            <family val="2"/>
          </rPr>
          <t>Escluse testate</t>
        </r>
      </text>
    </comment>
    <comment ref="Y147" authorId="0" shapeId="0" xr:uid="{00000000-0006-0000-0000-000015000000}">
      <text>
        <r>
          <rPr>
            <sz val="9"/>
            <color indexed="81"/>
            <rFont val="Tahoma"/>
            <family val="2"/>
          </rPr>
          <t xml:space="preserve">solo laterali
</t>
        </r>
      </text>
    </comment>
    <comment ref="C152" authorId="0" shapeId="0" xr:uid="{C0E93A71-16B1-455E-8FF3-A8F70E1488DB}">
      <text>
        <r>
          <rPr>
            <sz val="9"/>
            <color indexed="81"/>
            <rFont val="Tahoma"/>
            <family val="2"/>
          </rPr>
          <t xml:space="preserve">Lunghezza di ogni ramo di catena
</t>
        </r>
      </text>
    </comment>
    <comment ref="Y188" authorId="0" shapeId="0" xr:uid="{00000000-0006-0000-0000-000016000000}">
      <text>
        <r>
          <rPr>
            <sz val="9"/>
            <color indexed="81"/>
            <rFont val="Tahoma"/>
            <family val="2"/>
          </rPr>
          <t>=CONCATENA("mrid_";mrid_tipo;"_";config)</t>
        </r>
      </text>
    </comment>
    <comment ref="AA188" authorId="0" shapeId="0" xr:uid="{00000000-0006-0000-0000-000017000000}">
      <text>
        <r>
          <rPr>
            <sz val="9"/>
            <color indexed="81"/>
            <rFont val="Tahoma"/>
            <family val="2"/>
          </rPr>
          <t xml:space="preserve">=SE(SINISTRA(mrid_tipo;1)="K";CONCATENA("alb_";mrid_qt;"x";mrid_tipo;mrid_mis);"-")
</t>
        </r>
      </text>
    </comment>
    <comment ref="AC188" authorId="0" shapeId="0" xr:uid="{00000000-0006-0000-0000-000018000000}">
      <text>
        <r>
          <rPr>
            <sz val="9"/>
            <color indexed="81"/>
            <rFont val="Tahoma"/>
            <family val="2"/>
          </rPr>
          <t>=SE(SINISTRA(mrid_tipo;1)="K";CERCA.VERT(col_nome;INDIRETTO(CONCATENA(mrid_tipo;"_alb_col"));2;FALSO);8)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 Giuseppe Barozzi</author>
  </authors>
  <commentList>
    <comment ref="N48" authorId="0" shapeId="0" xr:uid="{D5B16907-2727-432D-8635-F90A3E28CA72}">
      <text>
        <r>
          <rPr>
            <sz val="9"/>
            <color indexed="81"/>
            <rFont val="Tahoma"/>
            <family val="2"/>
          </rPr>
          <t>Distanza tra asse albero a fine corsa e flangia giunzione</t>
        </r>
      </text>
    </comment>
    <comment ref="B462" authorId="0" shapeId="0" xr:uid="{00000000-0006-0000-0200-000001000000}">
      <text>
        <r>
          <rPr>
            <b/>
            <sz val="9"/>
            <color indexed="81"/>
            <rFont val="Tahoma"/>
            <family val="2"/>
          </rPr>
          <t>HP</t>
        </r>
      </text>
    </comment>
    <comment ref="B463" authorId="0" shapeId="0" xr:uid="{00000000-0006-0000-0200-000002000000}">
      <text>
        <r>
          <rPr>
            <b/>
            <sz val="9"/>
            <color indexed="81"/>
            <rFont val="Tahoma"/>
            <family val="2"/>
          </rPr>
          <t>PNZ</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Ing. Giuseppe Barozzi</author>
  </authors>
  <commentList>
    <comment ref="V14" authorId="0" shapeId="0" xr:uid="{00000000-0006-0000-0300-000001000000}">
      <text>
        <r>
          <rPr>
            <sz val="9"/>
            <color indexed="81"/>
            <rFont val="Tahoma"/>
            <family val="2"/>
          </rPr>
          <t>fondo standard=1
fondo PE=2
fondo Hardox=3
Rinvio Lungo:
fondo standard=5
fondo PE=6
fondo Hardox=7</t>
        </r>
      </text>
    </comment>
    <comment ref="W14" authorId="0" shapeId="0" xr:uid="{00000000-0006-0000-0300-000002000000}">
      <text>
        <r>
          <rPr>
            <sz val="9"/>
            <color indexed="81"/>
            <rFont val="Tahoma"/>
            <family val="2"/>
          </rPr>
          <t>coperchi STD + guida 12 -&gt; 1
coperchi Inox + guida 12 -&gt; 2
coperchi Inox + guida 20 -&gt; 3</t>
        </r>
      </text>
    </comment>
  </commentList>
</comments>
</file>

<file path=xl/sharedStrings.xml><?xml version="1.0" encoding="utf-8"?>
<sst xmlns="http://schemas.openxmlformats.org/spreadsheetml/2006/main" count="9296" uniqueCount="2098">
  <si>
    <t>commessa</t>
  </si>
  <si>
    <t>matricola</t>
  </si>
  <si>
    <t>codice macchina</t>
  </si>
  <si>
    <t>data emissione</t>
  </si>
  <si>
    <t>revisione</t>
  </si>
  <si>
    <t>Distinta</t>
  </si>
  <si>
    <t>Dati generali</t>
  </si>
  <si>
    <t>macchina</t>
  </si>
  <si>
    <t>vendita</t>
  </si>
  <si>
    <t>Distribuzione&gt;</t>
  </si>
  <si>
    <t>FORN.</t>
  </si>
  <si>
    <t>UFF. TEC.</t>
  </si>
  <si>
    <t>ACQUISTI</t>
  </si>
  <si>
    <t>OFFICINA</t>
  </si>
  <si>
    <t>MAGAZZINO</t>
  </si>
  <si>
    <t>DIR. PROD.</t>
  </si>
  <si>
    <t>TEC. MONT.</t>
  </si>
  <si>
    <t>TM ITA</t>
  </si>
  <si>
    <t>TM ROM</t>
  </si>
  <si>
    <t>TM CHN</t>
  </si>
  <si>
    <t>Fornitura&gt;</t>
  </si>
  <si>
    <t>Trasmec</t>
  </si>
  <si>
    <t>Sp. Cliente</t>
  </si>
  <si>
    <t>disegno</t>
  </si>
  <si>
    <t>chksum</t>
  </si>
  <si>
    <t>flg val</t>
  </si>
  <si>
    <t>nome flag</t>
  </si>
  <si>
    <t>cliente</t>
  </si>
  <si>
    <t>impianto</t>
  </si>
  <si>
    <t>pos. layout</t>
  </si>
  <si>
    <t>ordine cliente</t>
  </si>
  <si>
    <t>data</t>
  </si>
  <si>
    <t>conferma ordine interna</t>
  </si>
  <si>
    <t>faldone</t>
  </si>
  <si>
    <t>Layout</t>
  </si>
  <si>
    <t>Flow Sheet</t>
  </si>
  <si>
    <t>rev.</t>
  </si>
  <si>
    <t>n.</t>
  </si>
  <si>
    <t>Allestimento</t>
  </si>
  <si>
    <t>oggetto</t>
  </si>
  <si>
    <t>-</t>
  </si>
  <si>
    <t>descrizione</t>
  </si>
  <si>
    <t>materiale trasportato</t>
  </si>
  <si>
    <t>umidità</t>
  </si>
  <si>
    <t>densità BD</t>
  </si>
  <si>
    <t>portata</t>
  </si>
  <si>
    <t>tipo</t>
  </si>
  <si>
    <t>%</t>
  </si>
  <si>
    <t>kg/m³</t>
  </si>
  <si>
    <t>m³/h</t>
  </si>
  <si>
    <t>ton/h</t>
  </si>
  <si>
    <t>codice</t>
  </si>
  <si>
    <t>ATEX</t>
  </si>
  <si>
    <t>interna</t>
  </si>
  <si>
    <t>zona esterna</t>
  </si>
  <si>
    <t>sicura</t>
  </si>
  <si>
    <t>Talloncino ATEX</t>
  </si>
  <si>
    <t>A</t>
  </si>
  <si>
    <t>B</t>
  </si>
  <si>
    <t>C</t>
  </si>
  <si>
    <t>D</t>
  </si>
  <si>
    <t>E</t>
  </si>
  <si>
    <t>F</t>
  </si>
  <si>
    <t>Targa Matricola</t>
  </si>
  <si>
    <t>Marcatura ATEX</t>
  </si>
  <si>
    <t>marcatura</t>
  </si>
  <si>
    <t>zona Interna</t>
  </si>
  <si>
    <t>zona Esterna</t>
  </si>
  <si>
    <t>temp. limite (°C)</t>
  </si>
  <si>
    <t>Stringa ATEX</t>
  </si>
  <si>
    <t>Talloncino</t>
  </si>
  <si>
    <t>Marcatura EAC</t>
  </si>
  <si>
    <t>NO</t>
  </si>
  <si>
    <t>Targhetta</t>
  </si>
  <si>
    <t xml:space="preserve">MACCHINA TIPO  </t>
  </si>
  <si>
    <t xml:space="preserve">MATRICOLA N°  </t>
  </si>
  <si>
    <t xml:space="preserve">ANNO FABBR.  </t>
  </si>
  <si>
    <t>Messa a terra</t>
  </si>
  <si>
    <t>Predisporre la macchina con punti di messa a terra</t>
  </si>
  <si>
    <t>Dimensioni</t>
  </si>
  <si>
    <t>11N</t>
  </si>
  <si>
    <t>15N</t>
  </si>
  <si>
    <t>19N</t>
  </si>
  <si>
    <t>21N</t>
  </si>
  <si>
    <t>21HP</t>
  </si>
  <si>
    <t>25HP</t>
  </si>
  <si>
    <t>30HP</t>
  </si>
  <si>
    <t>35HP</t>
  </si>
  <si>
    <t>40HP</t>
  </si>
  <si>
    <t>40PNZ</t>
  </si>
  <si>
    <t>50PNZ</t>
  </si>
  <si>
    <t>H</t>
  </si>
  <si>
    <t>Materiale trasp.</t>
  </si>
  <si>
    <t>TRUCIOLO SECCO</t>
  </si>
  <si>
    <t>TRUCIOLO VERDE</t>
  </si>
  <si>
    <t>TRUCIOLO RESINATO</t>
  </si>
  <si>
    <t>CHIPS RICICLATO</t>
  </si>
  <si>
    <t>SEGATURA</t>
  </si>
  <si>
    <t>FIBRA</t>
  </si>
  <si>
    <t>OSB</t>
  </si>
  <si>
    <t>Motoriduttore</t>
  </si>
  <si>
    <t>quant.</t>
  </si>
  <si>
    <t>kW</t>
  </si>
  <si>
    <t>n</t>
  </si>
  <si>
    <t>forma</t>
  </si>
  <si>
    <t>V</t>
  </si>
  <si>
    <t>Hz</t>
  </si>
  <si>
    <t>IP</t>
  </si>
  <si>
    <t>cl. isol.</t>
  </si>
  <si>
    <t>resist. (V)</t>
  </si>
  <si>
    <t>Trasmissione a catena</t>
  </si>
  <si>
    <t>designazione</t>
  </si>
  <si>
    <t>passo (mm)</t>
  </si>
  <si>
    <t>1"S</t>
  </si>
  <si>
    <t>1-1/4"S</t>
  </si>
  <si>
    <t>1-1/2"S</t>
  </si>
  <si>
    <t>1-3/4"S</t>
  </si>
  <si>
    <t>2"S</t>
  </si>
  <si>
    <t>2-1/2"S</t>
  </si>
  <si>
    <t>3"S</t>
  </si>
  <si>
    <t>1"D</t>
  </si>
  <si>
    <t>1-1/4"D</t>
  </si>
  <si>
    <t>1-1/2"D</t>
  </si>
  <si>
    <t>1-3/4"D</t>
  </si>
  <si>
    <t>2"D</t>
  </si>
  <si>
    <t>2-1/2"D</t>
  </si>
  <si>
    <t>3"D</t>
  </si>
  <si>
    <t>Lubrificanti - olio</t>
  </si>
  <si>
    <t>olio</t>
  </si>
  <si>
    <t>T amb.</t>
  </si>
  <si>
    <t>CLP CC VG 220</t>
  </si>
  <si>
    <t>-15 ÷ +40°C</t>
  </si>
  <si>
    <t>CLP PG VG 220</t>
  </si>
  <si>
    <t>-20 ÷ +80°C</t>
  </si>
  <si>
    <t>CLP HC VG 150</t>
  </si>
  <si>
    <t>-40 ÷ +40°C</t>
  </si>
  <si>
    <t>CLP HC VG 220</t>
  </si>
  <si>
    <t>-20 ÷ +60°C</t>
  </si>
  <si>
    <t>Lubrificanti - grasso</t>
  </si>
  <si>
    <t>grasso</t>
  </si>
  <si>
    <t>DIN 51825</t>
  </si>
  <si>
    <t>SKF LGHP 2</t>
  </si>
  <si>
    <t>-40 ÷ +140°C</t>
  </si>
  <si>
    <t>K2N-40</t>
  </si>
  <si>
    <t>Motoriduttori</t>
  </si>
  <si>
    <t>albero</t>
  </si>
  <si>
    <t>R77</t>
  </si>
  <si>
    <t>40 k6</t>
  </si>
  <si>
    <t>R87</t>
  </si>
  <si>
    <t>50 k6</t>
  </si>
  <si>
    <t>R97</t>
  </si>
  <si>
    <t>60 m6</t>
  </si>
  <si>
    <t>R107</t>
  </si>
  <si>
    <t>70 m6</t>
  </si>
  <si>
    <t>R137</t>
  </si>
  <si>
    <t>90 m6</t>
  </si>
  <si>
    <t>R147</t>
  </si>
  <si>
    <t>110 m6</t>
  </si>
  <si>
    <t>R167</t>
  </si>
  <si>
    <t>120 m6</t>
  </si>
  <si>
    <t>KA87</t>
  </si>
  <si>
    <t>KA97</t>
  </si>
  <si>
    <t>KA107</t>
  </si>
  <si>
    <t>KA127</t>
  </si>
  <si>
    <t>KA157</t>
  </si>
  <si>
    <t>Posizioni KA</t>
  </si>
  <si>
    <t>M1-0°</t>
  </si>
  <si>
    <t>M1A-0°</t>
  </si>
  <si>
    <t>M1-90°</t>
  </si>
  <si>
    <t>M1B-0°</t>
  </si>
  <si>
    <t>M1-180°</t>
  </si>
  <si>
    <t>M1A-90°</t>
  </si>
  <si>
    <t>M1-270°</t>
  </si>
  <si>
    <t>M1B-90°</t>
  </si>
  <si>
    <t>M1A-180°</t>
  </si>
  <si>
    <t>M1B-180°</t>
  </si>
  <si>
    <t>M1A-270°</t>
  </si>
  <si>
    <t>M1B-270°</t>
  </si>
  <si>
    <t>Posizioni R</t>
  </si>
  <si>
    <t>Lubrificazione</t>
  </si>
  <si>
    <t>T. ambiente</t>
  </si>
  <si>
    <t>z</t>
  </si>
  <si>
    <t>passo</t>
  </si>
  <si>
    <t>D(foro)</t>
  </si>
  <si>
    <t>misura</t>
  </si>
  <si>
    <t>X</t>
  </si>
  <si>
    <t>Pignone</t>
  </si>
  <si>
    <t>Corona</t>
  </si>
  <si>
    <t>Sopporti</t>
  </si>
  <si>
    <t>cuscinetto radiale</t>
  </si>
  <si>
    <t>sopporto</t>
  </si>
  <si>
    <t>D albero</t>
  </si>
  <si>
    <t>ingrassatori</t>
  </si>
  <si>
    <t>lato inst.</t>
  </si>
  <si>
    <t>SoftStart</t>
  </si>
  <si>
    <t>Inverter</t>
  </si>
  <si>
    <t>Servovent.</t>
  </si>
  <si>
    <t>mm</t>
  </si>
  <si>
    <t>Portacorona</t>
  </si>
  <si>
    <t>Braccio</t>
  </si>
  <si>
    <t>Spine</t>
  </si>
  <si>
    <t>materiale</t>
  </si>
  <si>
    <t>Calettatori</t>
  </si>
  <si>
    <t>040-065</t>
  </si>
  <si>
    <t>045-075</t>
  </si>
  <si>
    <t>050-080</t>
  </si>
  <si>
    <t>055-085</t>
  </si>
  <si>
    <t>060-090</t>
  </si>
  <si>
    <t>065-095</t>
  </si>
  <si>
    <t>070-110</t>
  </si>
  <si>
    <t>075-115</t>
  </si>
  <si>
    <t>080-120</t>
  </si>
  <si>
    <t>085-125</t>
  </si>
  <si>
    <t>090-130</t>
  </si>
  <si>
    <t>100-145</t>
  </si>
  <si>
    <t>110-155</t>
  </si>
  <si>
    <t>120-165</t>
  </si>
  <si>
    <t>130-180</t>
  </si>
  <si>
    <t>140-190</t>
  </si>
  <si>
    <t>150-200</t>
  </si>
  <si>
    <t>calettatore</t>
  </si>
  <si>
    <t>40 H8</t>
  </si>
  <si>
    <t>50 H8</t>
  </si>
  <si>
    <t>60 H8</t>
  </si>
  <si>
    <t>70 H8</t>
  </si>
  <si>
    <t>90 H8</t>
  </si>
  <si>
    <t>110 H8</t>
  </si>
  <si>
    <t>120 H8</t>
  </si>
  <si>
    <t>Cmax (Nm)</t>
  </si>
  <si>
    <t>riduttore</t>
  </si>
  <si>
    <t>k</t>
  </si>
  <si>
    <t>Avviamento</t>
  </si>
  <si>
    <t>C calc</t>
  </si>
  <si>
    <t>Nm</t>
  </si>
  <si>
    <t>Rm</t>
  </si>
  <si>
    <t>spina</t>
  </si>
  <si>
    <t>D1</t>
  </si>
  <si>
    <t>G</t>
  </si>
  <si>
    <t>ID</t>
  </si>
  <si>
    <t>flg_chad</t>
  </si>
  <si>
    <t>D2</t>
  </si>
  <si>
    <t>D3</t>
  </si>
  <si>
    <t>Testate</t>
  </si>
  <si>
    <t>Comando</t>
  </si>
  <si>
    <t>Motorizzazione</t>
  </si>
  <si>
    <t>Trasm. catena V</t>
  </si>
  <si>
    <t>Trasm. catena H</t>
  </si>
  <si>
    <t>Motoriduttore Pendolare</t>
  </si>
  <si>
    <t>Rinvio</t>
  </si>
  <si>
    <t>Casse</t>
  </si>
  <si>
    <t>lunghezza</t>
  </si>
  <si>
    <t>pignone</t>
  </si>
  <si>
    <t>KH77</t>
  </si>
  <si>
    <t>KH87</t>
  </si>
  <si>
    <t>KH97</t>
  </si>
  <si>
    <t>KH107</t>
  </si>
  <si>
    <t>KH127</t>
  </si>
  <si>
    <t>KH157</t>
  </si>
  <si>
    <t>Marcatura</t>
  </si>
  <si>
    <t>L</t>
  </si>
  <si>
    <t>Curve</t>
  </si>
  <si>
    <t>Inferiore</t>
  </si>
  <si>
    <t>Superiore</t>
  </si>
  <si>
    <t>R fondo</t>
  </si>
  <si>
    <t>gradi</t>
  </si>
  <si>
    <t>ang</t>
  </si>
  <si>
    <t>z guida sup</t>
  </si>
  <si>
    <t>R fondo inf</t>
  </si>
  <si>
    <t>R fondo sup</t>
  </si>
  <si>
    <t>cod</t>
  </si>
  <si>
    <t>L guida (tot)</t>
  </si>
  <si>
    <t>Curva INF</t>
  </si>
  <si>
    <t>Curva SUP</t>
  </si>
  <si>
    <t>Standard</t>
  </si>
  <si>
    <t>Standard casse</t>
  </si>
  <si>
    <t>Kronospan</t>
  </si>
  <si>
    <t>Egger</t>
  </si>
  <si>
    <t>fiancate</t>
  </si>
  <si>
    <t>fondo</t>
  </si>
  <si>
    <t>coperchi</t>
  </si>
  <si>
    <t>60x12</t>
  </si>
  <si>
    <t>profilo guida</t>
  </si>
  <si>
    <t>60x20</t>
  </si>
  <si>
    <t>sp_guida</t>
  </si>
  <si>
    <t>L guida</t>
  </si>
  <si>
    <t>Sezioni di trasporto</t>
  </si>
  <si>
    <t>articolo</t>
  </si>
  <si>
    <t>vite</t>
  </si>
  <si>
    <t>rosetta piana</t>
  </si>
  <si>
    <t>rosetta elastica</t>
  </si>
  <si>
    <t>dado</t>
  </si>
  <si>
    <t>catena</t>
  </si>
  <si>
    <t>Catena di trasporto</t>
  </si>
  <si>
    <t>(m)</t>
  </si>
  <si>
    <t>maglia</t>
  </si>
  <si>
    <t>perno</t>
  </si>
  <si>
    <t>AISI 420</t>
  </si>
  <si>
    <t>settori</t>
  </si>
  <si>
    <t>ruota portasettori</t>
  </si>
  <si>
    <t>viti settori</t>
  </si>
  <si>
    <t>M20x90</t>
  </si>
  <si>
    <t>Dp</t>
  </si>
  <si>
    <t>L catena</t>
  </si>
  <si>
    <t>maglie</t>
  </si>
  <si>
    <t>Ruote portasettori</t>
  </si>
  <si>
    <t>ruota</t>
  </si>
  <si>
    <t>viti</t>
  </si>
  <si>
    <t>D(foro) H8</t>
  </si>
  <si>
    <t>Alberi</t>
  </si>
  <si>
    <t>D sopporti</t>
  </si>
  <si>
    <t>22216 EK + H 316</t>
  </si>
  <si>
    <t>22220 EK + H 320</t>
  </si>
  <si>
    <t>anelli arresto</t>
  </si>
  <si>
    <t>FRB 15/250</t>
  </si>
  <si>
    <t>grasso (g)</t>
  </si>
  <si>
    <t>Sopporto</t>
  </si>
  <si>
    <t>Cuscinetto</t>
  </si>
  <si>
    <t>Tenute</t>
  </si>
  <si>
    <t>Ingrassatori</t>
  </si>
  <si>
    <t>TK-R 70</t>
  </si>
  <si>
    <t>TK-R 90</t>
  </si>
  <si>
    <t>Sopporti comando</t>
  </si>
  <si>
    <t>Sopporti rinvio</t>
  </si>
  <si>
    <t>tenuta</t>
  </si>
  <si>
    <t>O-Ring</t>
  </si>
  <si>
    <t>g</t>
  </si>
  <si>
    <t>tipo / materiale</t>
  </si>
  <si>
    <t>139.36x2.62</t>
  </si>
  <si>
    <t>177.47x2.62</t>
  </si>
  <si>
    <t>quant. (g)</t>
  </si>
  <si>
    <t>quant.*</t>
  </si>
  <si>
    <t>riempimento*</t>
  </si>
  <si>
    <t>(*) per un sopporto</t>
  </si>
  <si>
    <t>Paletta intasamento</t>
  </si>
  <si>
    <t>mrid_KA_A</t>
  </si>
  <si>
    <t>KA</t>
  </si>
  <si>
    <t>KA; n=1</t>
  </si>
  <si>
    <t>KA; n=2</t>
  </si>
  <si>
    <t>max</t>
  </si>
  <si>
    <t>P max</t>
  </si>
  <si>
    <t>P max*</t>
  </si>
  <si>
    <t>parapolvere</t>
  </si>
  <si>
    <t>piastra sopporto</t>
  </si>
  <si>
    <t>alb_1xKA87</t>
  </si>
  <si>
    <t>alb_2xKA87</t>
  </si>
  <si>
    <t>alb_1xKA97</t>
  </si>
  <si>
    <t>alb_2xKA97</t>
  </si>
  <si>
    <t>alb_1xKA107</t>
  </si>
  <si>
    <t>alb_2xKA107</t>
  </si>
  <si>
    <t>alb_1xKA127</t>
  </si>
  <si>
    <t>alb_2xKA127</t>
  </si>
  <si>
    <t>alb_1xKA157</t>
  </si>
  <si>
    <t>alb_2xKA157</t>
  </si>
  <si>
    <t>linguetta trasm.</t>
  </si>
  <si>
    <t>linguetta trasp.</t>
  </si>
  <si>
    <t>012.00.02.07.00.42</t>
  </si>
  <si>
    <t>012.11.02.07.00.41</t>
  </si>
  <si>
    <t>012.11.11.01.07.02</t>
  </si>
  <si>
    <t>012.11.11.02.07.02</t>
  </si>
  <si>
    <t>UNI 6604 B-18x11x125</t>
  </si>
  <si>
    <t>UNI 6604 B-28x16x200</t>
  </si>
  <si>
    <t>012.00.02.08.00.42</t>
  </si>
  <si>
    <t>012.12.02.08.00.41</t>
  </si>
  <si>
    <t>012.12.11.01.08.02</t>
  </si>
  <si>
    <t>012.12.11.02.08.02</t>
  </si>
  <si>
    <t>UNI 6604 B-20x12x125</t>
  </si>
  <si>
    <t>012.13.02.08.00.41</t>
  </si>
  <si>
    <t>012.13.11.01.08.02</t>
  </si>
  <si>
    <t>012.13.11.02.08.02</t>
  </si>
  <si>
    <t>UNI 6604 B-32x18x200</t>
  </si>
  <si>
    <t>012.00.02.09.00.42</t>
  </si>
  <si>
    <t>012.14.02.09.00.41</t>
  </si>
  <si>
    <t>012.14.11.01.09.03</t>
  </si>
  <si>
    <t>012.14.11.02.09.03</t>
  </si>
  <si>
    <t>UNI 6604 B-22x14x125</t>
  </si>
  <si>
    <t>012.22.02.09.00.41</t>
  </si>
  <si>
    <t>012.22.11.01.09.03</t>
  </si>
  <si>
    <t>012.22.11.02.09.03</t>
  </si>
  <si>
    <t>012.00.02.10.00.42</t>
  </si>
  <si>
    <t>012.23.02.10.00.41</t>
  </si>
  <si>
    <t>012.23.11.01.10.03</t>
  </si>
  <si>
    <t>012.23.11.02.10.03</t>
  </si>
  <si>
    <t>012.23.11.01.10.04</t>
  </si>
  <si>
    <t>012.23.11.02.10.04</t>
  </si>
  <si>
    <t>UNI 6604 B-25x14x125</t>
  </si>
  <si>
    <t>UNI 6604 B-36x20x200</t>
  </si>
  <si>
    <t>012.00.02.11.00.42</t>
  </si>
  <si>
    <t>012.24.02.11.00.41</t>
  </si>
  <si>
    <t>012.24.11.01.11.03</t>
  </si>
  <si>
    <t>012.24.11.02.11.03</t>
  </si>
  <si>
    <t>012.24.11.01.11.04</t>
  </si>
  <si>
    <t>012.24.11.02.11.04</t>
  </si>
  <si>
    <t>UNI 6604 B-28x16x125</t>
  </si>
  <si>
    <t>UNI 6604 B-40x22x200</t>
  </si>
  <si>
    <t>012.25.02.11.00.41</t>
  </si>
  <si>
    <t>012.25.11.01.11.03</t>
  </si>
  <si>
    <t>012.25.11.02.11.03</t>
  </si>
  <si>
    <t>012.25.11.01.11.04</t>
  </si>
  <si>
    <t>012.25.11.02.11.04</t>
  </si>
  <si>
    <t>013.00.02.13.00.43</t>
  </si>
  <si>
    <t>013.00.02.13.00.42</t>
  </si>
  <si>
    <t>013.11.11.01.13.04</t>
  </si>
  <si>
    <t>013.11.11.02.13.04</t>
  </si>
  <si>
    <t>013.11.11.01.13.05</t>
  </si>
  <si>
    <t>013.11.11.02.13.05</t>
  </si>
  <si>
    <t>UNI 6604 B-32x18x125</t>
  </si>
  <si>
    <t>UNI 6604 B-45x25x200</t>
  </si>
  <si>
    <t>013.12.11.01.13.05</t>
  </si>
  <si>
    <t>013.12.11.02.13.05</t>
  </si>
  <si>
    <t>mrid_KA_B</t>
  </si>
  <si>
    <t>012.11.02.09.00.41</t>
  </si>
  <si>
    <t>012.11.11.01.09.03</t>
  </si>
  <si>
    <t>012.11.11.02.09.03</t>
  </si>
  <si>
    <t>012.12.02.09.00.41</t>
  </si>
  <si>
    <t>012.12.11.01.09.03</t>
  </si>
  <si>
    <t>012.12.11.02.09.03</t>
  </si>
  <si>
    <t>012.13.02.09.00.41</t>
  </si>
  <si>
    <t>012.13.11.01.09.03</t>
  </si>
  <si>
    <t>012.13.11.02.09.03</t>
  </si>
  <si>
    <t>012.14.02.10.00.41</t>
  </si>
  <si>
    <t>012.14.11.01.10.04</t>
  </si>
  <si>
    <t>012.14.11.02.10.04</t>
  </si>
  <si>
    <t>012.22.02.10.00.41</t>
  </si>
  <si>
    <t>012.22.11.01.10.04</t>
  </si>
  <si>
    <t>012.22.11.02.10.04</t>
  </si>
  <si>
    <t>012.23.02.11.00.41</t>
  </si>
  <si>
    <t>012.23.11.01.11.04</t>
  </si>
  <si>
    <t>012.23.11.02.11.04</t>
  </si>
  <si>
    <t>012.00.02.12.00.42</t>
  </si>
  <si>
    <t>012.24.02.12.00.41</t>
  </si>
  <si>
    <t>012.24.11.02.12.04</t>
  </si>
  <si>
    <t>012.24.11.01.12.05</t>
  </si>
  <si>
    <t>012.24.11.02.12.05</t>
  </si>
  <si>
    <t>012.00.02.13.00.42</t>
  </si>
  <si>
    <t>012.25.02.13.00.41</t>
  </si>
  <si>
    <t>012.25.11.01.13.04</t>
  </si>
  <si>
    <t>012.25.11.01.13.05</t>
  </si>
  <si>
    <t>012.25.11.02.13.05</t>
  </si>
  <si>
    <t>UNI 6604 B-36x20x125</t>
  </si>
  <si>
    <t>013.00.02.15.00.43</t>
  </si>
  <si>
    <t>013.00.02.15.00.42</t>
  </si>
  <si>
    <t>(*) un riduttore</t>
  </si>
  <si>
    <t>mrid_KH_A</t>
  </si>
  <si>
    <t>KH</t>
  </si>
  <si>
    <t>mrid_KH_B</t>
  </si>
  <si>
    <t>mrid_R_A</t>
  </si>
  <si>
    <t>R</t>
  </si>
  <si>
    <t>linguetta rinvio</t>
  </si>
  <si>
    <t>mrid_R_B</t>
  </si>
  <si>
    <t>classe</t>
  </si>
  <si>
    <t>P(kW)</t>
  </si>
  <si>
    <t>sel</t>
  </si>
  <si>
    <t>chk</t>
  </si>
  <si>
    <t>v trasporto</t>
  </si>
  <si>
    <t>chk_mrid</t>
  </si>
  <si>
    <t>m/s</t>
  </si>
  <si>
    <t>mrid_tipo</t>
  </si>
  <si>
    <t>tab_alb</t>
  </si>
  <si>
    <t>mrid_mis</t>
  </si>
  <si>
    <t>col_nome</t>
  </si>
  <si>
    <t>col_N</t>
  </si>
  <si>
    <t>KA_alb_col</t>
  </si>
  <si>
    <t>mrid_qt_chk</t>
  </si>
  <si>
    <t>&gt;</t>
  </si>
  <si>
    <t>&lt;</t>
  </si>
  <si>
    <t>Rev.</t>
  </si>
  <si>
    <t>Nascondere</t>
  </si>
  <si>
    <t>*** Sezione ausiliaria - NON MODIFICARE ***</t>
  </si>
  <si>
    <t>D trasporto</t>
  </si>
  <si>
    <t>D (h8)</t>
  </si>
  <si>
    <t>Linguette</t>
  </si>
  <si>
    <t>Comando - Trasmissione</t>
  </si>
  <si>
    <t>Comando - Trasporto</t>
  </si>
  <si>
    <t>Rinvio - Trasporto</t>
  </si>
  <si>
    <t>Sensori</t>
  </si>
  <si>
    <t>funzione</t>
  </si>
  <si>
    <t>Spruzzatori</t>
  </si>
  <si>
    <t>Pannelli di rottura</t>
  </si>
  <si>
    <t>Piastrine per spruzzatori</t>
  </si>
  <si>
    <t>Accessori antincendio</t>
  </si>
  <si>
    <t>Sensori controllo rotazione</t>
  </si>
  <si>
    <t>XSA-V11373</t>
  </si>
  <si>
    <t>XSA-V11373 EX</t>
  </si>
  <si>
    <t>XSA-V11373 TF</t>
  </si>
  <si>
    <t>DI 5001</t>
  </si>
  <si>
    <t>Sensori intasamento</t>
  </si>
  <si>
    <t>XC2-JC10131</t>
  </si>
  <si>
    <t>XCK-J10541</t>
  </si>
  <si>
    <t>XCK-J390541H29 EX</t>
  </si>
  <si>
    <t>XS1-M30PA370</t>
  </si>
  <si>
    <t>XS630B1PAL2</t>
  </si>
  <si>
    <t>XS630B1PAL10 EX</t>
  </si>
  <si>
    <t>IIM211</t>
  </si>
  <si>
    <t>Sensori reazione</t>
  </si>
  <si>
    <t>IFS206</t>
  </si>
  <si>
    <t>controllo rotazione</t>
  </si>
  <si>
    <t>rilevazione intasamento</t>
  </si>
  <si>
    <t>P(tot)</t>
  </si>
  <si>
    <t>11 N</t>
  </si>
  <si>
    <t>15 N</t>
  </si>
  <si>
    <t>19 N</t>
  </si>
  <si>
    <t>21 N</t>
  </si>
  <si>
    <t>21 HP</t>
  </si>
  <si>
    <t>25 HP</t>
  </si>
  <si>
    <t>30 HP</t>
  </si>
  <si>
    <t>35 HP</t>
  </si>
  <si>
    <t>40 HP</t>
  </si>
  <si>
    <t>40 PNZ</t>
  </si>
  <si>
    <t>50 PNZ</t>
  </si>
  <si>
    <t>molle</t>
  </si>
  <si>
    <t>Molle</t>
  </si>
  <si>
    <t>Sopporto rinvio</t>
  </si>
  <si>
    <t>ID molle</t>
  </si>
  <si>
    <t>R med curva inf</t>
  </si>
  <si>
    <t>R med curva sup</t>
  </si>
  <si>
    <t>L utile</t>
  </si>
  <si>
    <t>Potenza</t>
  </si>
  <si>
    <t>Componenti reazione</t>
  </si>
  <si>
    <t>Dispositivo</t>
  </si>
  <si>
    <t>Braccio completo</t>
  </si>
  <si>
    <t>Rosetta di sicurezza</t>
  </si>
  <si>
    <t>tab_disp</t>
  </si>
  <si>
    <t>P_rid</t>
  </si>
  <si>
    <t>disp_col_N</t>
  </si>
  <si>
    <t>mrid</t>
  </si>
  <si>
    <t>D snodo</t>
  </si>
  <si>
    <t>snodo 1</t>
  </si>
  <si>
    <t>snodo 2</t>
  </si>
  <si>
    <t>A.25.505</t>
  </si>
  <si>
    <t>SA 25 C</t>
  </si>
  <si>
    <t>SI 25 C</t>
  </si>
  <si>
    <t>80x41x3</t>
  </si>
  <si>
    <t>A.25.515</t>
  </si>
  <si>
    <t>B.25.515</t>
  </si>
  <si>
    <t>80x41x4</t>
  </si>
  <si>
    <t>B.25.560</t>
  </si>
  <si>
    <t>B.40.560</t>
  </si>
  <si>
    <t>SAA 40 TXE-2LS</t>
  </si>
  <si>
    <t>SIA 40 TXE-2LS</t>
  </si>
  <si>
    <t>B.40.613</t>
  </si>
  <si>
    <t>B.40.645</t>
  </si>
  <si>
    <t>B.40.672</t>
  </si>
  <si>
    <t>B.40.750</t>
  </si>
  <si>
    <t>dispositivi reazione</t>
  </si>
  <si>
    <t>[mrid_alberi] ord+1&gt;</t>
  </si>
  <si>
    <t>br_11</t>
  </si>
  <si>
    <t>br_15</t>
  </si>
  <si>
    <t>max 7350Nm</t>
  </si>
  <si>
    <t>br_19</t>
  </si>
  <si>
    <t>21 N - 21 HP</t>
  </si>
  <si>
    <t>br_21</t>
  </si>
  <si>
    <t>br_25</t>
  </si>
  <si>
    <t>br_30</t>
  </si>
  <si>
    <t>br_35</t>
  </si>
  <si>
    <t>br_40</t>
  </si>
  <si>
    <t>40 PNZ - 50 PNZ</t>
  </si>
  <si>
    <t>br_pnz</t>
  </si>
  <si>
    <t>disp_tipi</t>
  </si>
  <si>
    <t>disp_dati</t>
  </si>
  <si>
    <t>D alb</t>
  </si>
  <si>
    <t>ord</t>
  </si>
  <si>
    <t>braccio reazione</t>
  </si>
  <si>
    <t>UNI 5739-M16x50-8.8</t>
  </si>
  <si>
    <t>UNI 6592-17X30</t>
  </si>
  <si>
    <t>UNI 1751-A16</t>
  </si>
  <si>
    <t>012.00.50.01.00.00</t>
  </si>
  <si>
    <t>UNI 5739-M20x50-8.8</t>
  </si>
  <si>
    <t>UNI 6592-21x37</t>
  </si>
  <si>
    <t>UNI 1751-A10</t>
  </si>
  <si>
    <t>012.00.50.02.00.00</t>
  </si>
  <si>
    <t>UNI 5739-M24x65-8.8</t>
  </si>
  <si>
    <t>UNI 6592-25x44</t>
  </si>
  <si>
    <t>012.00.50.03.00.00</t>
  </si>
  <si>
    <t>UNI 6592-37x66</t>
  </si>
  <si>
    <t>UNI 7473-M36-8</t>
  </si>
  <si>
    <t>012.00.50.04.00.00</t>
  </si>
  <si>
    <t>012.00.50.05.00.00</t>
  </si>
  <si>
    <t>UNI 5737-M16x100-8.8</t>
  </si>
  <si>
    <t>UNI 6592-17x30</t>
  </si>
  <si>
    <t>UNI 7473-M16-8</t>
  </si>
  <si>
    <t>UNI 5737-M20x110-8.8</t>
  </si>
  <si>
    <t>UNI 7473-M20-8</t>
  </si>
  <si>
    <t>UNI 5737-M24x130-8.8</t>
  </si>
  <si>
    <t>UNI 7473-M24-8</t>
  </si>
  <si>
    <t>UNI 5737-M24x140-8.8</t>
  </si>
  <si>
    <t>UNI 6592-31x56</t>
  </si>
  <si>
    <t>UNI 7473-M30-8</t>
  </si>
  <si>
    <t>UNI 5737-M36x180-8.8</t>
  </si>
  <si>
    <t>bulloneria fissaggio</t>
  </si>
  <si>
    <t>mrid_inst</t>
  </si>
  <si>
    <t>Terminale a snodo 1</t>
  </si>
  <si>
    <t>Terminale a snodo 2</t>
  </si>
  <si>
    <t>09.25</t>
  </si>
  <si>
    <t>09.40</t>
  </si>
  <si>
    <t>13.25</t>
  </si>
  <si>
    <t>13.40</t>
  </si>
  <si>
    <t>15.40</t>
  </si>
  <si>
    <t>15.25</t>
  </si>
  <si>
    <t>attacco_tipo</t>
  </si>
  <si>
    <t>gruppo</t>
  </si>
  <si>
    <t>distanziale</t>
  </si>
  <si>
    <t>012.00.91.00.25.01</t>
  </si>
  <si>
    <t>012.00.91.00.25.02</t>
  </si>
  <si>
    <t>012.00.91.00.40.01</t>
  </si>
  <si>
    <t>012.00.91.00.40.02</t>
  </si>
  <si>
    <t>attacco_parti</t>
  </si>
  <si>
    <t>Perno (macchina)</t>
  </si>
  <si>
    <t>Distanziale(macchina)</t>
  </si>
  <si>
    <t>Perno (riduttore)</t>
  </si>
  <si>
    <t>Distanziale (riduttore)</t>
  </si>
  <si>
    <t>gruppo perno</t>
  </si>
  <si>
    <t>rosetta</t>
  </si>
  <si>
    <t>012.00.91.50.25.00</t>
  </si>
  <si>
    <t>012.00.91.50.25.01</t>
  </si>
  <si>
    <t>012.00.91.50.25.02</t>
  </si>
  <si>
    <t>012.00.91.50.25.03</t>
  </si>
  <si>
    <t>012.00.91.50.40.00</t>
  </si>
  <si>
    <t>012.00.91.50.40.01</t>
  </si>
  <si>
    <t>012.00.91.50.40.02</t>
  </si>
  <si>
    <t>012.00.91.50.40.03</t>
  </si>
  <si>
    <t>perno lato motoriduttore</t>
  </si>
  <si>
    <t>*** DEFINIRE ***</t>
  </si>
  <si>
    <t>Tipo dispositivo reazione</t>
  </si>
  <si>
    <t>Fissaggio</t>
  </si>
  <si>
    <t>bulloneria_sopp_A</t>
  </si>
  <si>
    <t>D sopp</t>
  </si>
  <si>
    <t>H piastra</t>
  </si>
  <si>
    <t>UNI 5737-M30x120-8.8</t>
  </si>
  <si>
    <t>bulloneria_sopp_B</t>
  </si>
  <si>
    <t>UNI 5737-M24x110-8.8</t>
  </si>
  <si>
    <t>UNI 5737-M24x120-8.8</t>
  </si>
  <si>
    <t>UNI 5737-M30x130-8.8</t>
  </si>
  <si>
    <t>UNI 5737-M30x140-8.8</t>
  </si>
  <si>
    <t>Fissaggio motoriduttore</t>
  </si>
  <si>
    <t>flg_br</t>
  </si>
  <si>
    <t>300x620</t>
  </si>
  <si>
    <t>375x655</t>
  </si>
  <si>
    <t>620x820</t>
  </si>
  <si>
    <t>macchina_dati</t>
  </si>
  <si>
    <t>comando_dati</t>
  </si>
  <si>
    <t>rinvio_dati</t>
  </si>
  <si>
    <t>IF504A</t>
  </si>
  <si>
    <t>casse_cod</t>
  </si>
  <si>
    <t>curva_ang</t>
  </si>
  <si>
    <t>sns_cr</t>
  </si>
  <si>
    <t>sns_int</t>
  </si>
  <si>
    <t>sns_br</t>
  </si>
  <si>
    <t>sopporti_rnv_dati</t>
  </si>
  <si>
    <t>sopporti_dati</t>
  </si>
  <si>
    <t>catena_trasm_dati</t>
  </si>
  <si>
    <t>ol_dati</t>
  </si>
  <si>
    <t>gr_dati</t>
  </si>
  <si>
    <t>calettatori_dati</t>
  </si>
  <si>
    <t>ATEX_rating</t>
  </si>
  <si>
    <t>ATEX_tag</t>
  </si>
  <si>
    <t>Barra filettata</t>
  </si>
  <si>
    <t>M36</t>
  </si>
  <si>
    <t>Dadi</t>
  </si>
  <si>
    <t>IP 55</t>
  </si>
  <si>
    <t>Staffe di sostegno</t>
  </si>
  <si>
    <t>note</t>
  </si>
  <si>
    <t>codice produttore</t>
  </si>
  <si>
    <t>Anno/Commessa</t>
  </si>
  <si>
    <t>cod_anno</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</si>
  <si>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</si>
  <si>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</si>
  <si>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</si>
  <si>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</si>
  <si>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</si>
  <si>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</si>
  <si>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</si>
  <si>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</si>
  <si>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</si>
  <si>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</si>
  <si>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</si>
  <si>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</si>
  <si>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</si>
  <si>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</si>
  <si>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</si>
  <si>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</si>
  <si>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</si>
  <si>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</si>
  <si>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</si>
  <si>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</si>
  <si>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</si>
  <si>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</si>
  <si>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</si>
  <si>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</si>
  <si>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</si>
  <si>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</si>
  <si>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Bulloneria pannelli rottura</t>
  </si>
  <si>
    <t>pannelli_bul</t>
  </si>
  <si>
    <t>pannello</t>
  </si>
  <si>
    <t>dadi</t>
  </si>
  <si>
    <t>UNI 5739 - M6x16 - 8.8</t>
  </si>
  <si>
    <t>UNI 6592 - 6.4x12</t>
  </si>
  <si>
    <t>UNI 5588 - M6 - 8</t>
  </si>
  <si>
    <t>UNI 5739 - M10x20 - 8.8</t>
  </si>
  <si>
    <t>UNI 6592 - 10.5x20</t>
  </si>
  <si>
    <t>UNI 5588 - M10 - 8</t>
  </si>
  <si>
    <t>Tipo olio</t>
  </si>
  <si>
    <t>MINERALE</t>
  </si>
  <si>
    <t>SINTETICO</t>
  </si>
  <si>
    <t>flg_cur_inf</t>
  </si>
  <si>
    <t>flg_cur_sup</t>
  </si>
  <si>
    <t>flg_cur_ang</t>
  </si>
  <si>
    <t>angolo scarico</t>
  </si>
  <si>
    <t>Giunzione sezioni</t>
  </si>
  <si>
    <t>Bulloneria</t>
  </si>
  <si>
    <t>Sigillante</t>
  </si>
  <si>
    <t>cartuccia</t>
  </si>
  <si>
    <t>* NON DISPONIBILE *</t>
  </si>
  <si>
    <t>L flangia giunzione</t>
  </si>
  <si>
    <t>L flange tot</t>
  </si>
  <si>
    <t>m/cart</t>
  </si>
  <si>
    <t>sp_fianc</t>
  </si>
  <si>
    <t>Telaio</t>
  </si>
  <si>
    <t>A Cupola</t>
  </si>
  <si>
    <t>n_pann</t>
  </si>
  <si>
    <t>Revisioni Distinta</t>
  </si>
  <si>
    <t>Interasse</t>
  </si>
  <si>
    <t>Sviluppo</t>
  </si>
  <si>
    <t>L totale</t>
  </si>
  <si>
    <t>lunghezza in eccesso</t>
  </si>
  <si>
    <t>m</t>
  </si>
  <si>
    <t>passo catena</t>
  </si>
  <si>
    <t>Altro&gt;&gt;</t>
  </si>
  <si>
    <t>Potenza (kW)</t>
  </si>
  <si>
    <t>elenco</t>
  </si>
  <si>
    <t>catena_trasm_potenza</t>
  </si>
  <si>
    <t>mat_trasp</t>
  </si>
  <si>
    <t>mat_trasp_opt</t>
  </si>
  <si>
    <t>mrid_dati</t>
  </si>
  <si>
    <t>mrid_tipi</t>
  </si>
  <si>
    <t>mrid_R_pos</t>
  </si>
  <si>
    <t>mrid_K_pos</t>
  </si>
  <si>
    <t>potenza</t>
  </si>
  <si>
    <t>mot_opt_dati</t>
  </si>
  <si>
    <t>mot_opt</t>
  </si>
  <si>
    <t>forn</t>
  </si>
  <si>
    <t>***Le modifiche in questa sezione sono ad esclusivo rischio dell'ultilizzatore***</t>
  </si>
  <si>
    <t>rosette piane</t>
  </si>
  <si>
    <t>rosette elastiche</t>
  </si>
  <si>
    <t>UNI 8839 - A10</t>
  </si>
  <si>
    <t>UNI 8839 - A6</t>
  </si>
  <si>
    <t>UNI 5739 - M10x25 - 8.8</t>
  </si>
  <si>
    <t>E01</t>
  </si>
  <si>
    <t>guide</t>
  </si>
  <si>
    <t>S235</t>
  </si>
  <si>
    <t>X120Mn12</t>
  </si>
  <si>
    <t>AISI 304</t>
  </si>
  <si>
    <t>Hardox 450</t>
  </si>
  <si>
    <t>sp_cop</t>
  </si>
  <si>
    <t>sp_fondo</t>
  </si>
  <si>
    <t>guida</t>
  </si>
  <si>
    <t>spessori (mm) / materiali</t>
  </si>
  <si>
    <t>flg_gmot</t>
  </si>
  <si>
    <t>non usato</t>
  </si>
  <si>
    <t>DV00002</t>
  </si>
  <si>
    <t>pannelli rottura piani</t>
  </si>
  <si>
    <t>telaio pannello piano</t>
  </si>
  <si>
    <t>pannelli rottura a cupola</t>
  </si>
  <si>
    <t>telaio pannello a cupola</t>
  </si>
  <si>
    <t>DV00003</t>
  </si>
  <si>
    <t>457x890</t>
  </si>
  <si>
    <t>-20 ÷ +130°C</t>
  </si>
  <si>
    <t>*** NON MODIFICARE - Le modifiche in questa sezione sono ad esclusivo rischio dell'ultilizzatore ***</t>
  </si>
  <si>
    <t>Tamlith Grease 2 EP</t>
  </si>
  <si>
    <t>contropiastra</t>
  </si>
  <si>
    <t>controllo spost. alb. rinvio</t>
  </si>
  <si>
    <t>com</t>
  </si>
  <si>
    <t>casse</t>
  </si>
  <si>
    <t>cinf</t>
  </si>
  <si>
    <t>csup</t>
  </si>
  <si>
    <t>rnv</t>
  </si>
  <si>
    <t>totale</t>
  </si>
  <si>
    <t>h med catena</t>
  </si>
  <si>
    <t>flg_RO</t>
  </si>
  <si>
    <t>bavetta</t>
  </si>
  <si>
    <t>Anno fabbr.</t>
  </si>
  <si>
    <t>D base spina</t>
  </si>
  <si>
    <t>R005799</t>
  </si>
  <si>
    <t>R005801</t>
  </si>
  <si>
    <t>R005802</t>
  </si>
  <si>
    <t>R005803</t>
  </si>
  <si>
    <t>D3 spina</t>
  </si>
  <si>
    <t>Disegno</t>
  </si>
  <si>
    <t>D max sopp.</t>
  </si>
  <si>
    <t>Dispositivo sicurezza trasmissione a catena</t>
  </si>
  <si>
    <t>disp_tranc</t>
  </si>
  <si>
    <t>scelta</t>
  </si>
  <si>
    <t>disp_tranc_opt</t>
  </si>
  <si>
    <t>Dispositivo sicurezza</t>
  </si>
  <si>
    <t>Dispositivo di sicurezza</t>
  </si>
  <si>
    <t>D spina base</t>
  </si>
  <si>
    <t>Tipo catena</t>
  </si>
  <si>
    <t>spec_curva</t>
  </si>
  <si>
    <t>R002123 A</t>
  </si>
  <si>
    <t>R002123</t>
  </si>
  <si>
    <t>R002938</t>
  </si>
  <si>
    <t>012.00.90.10.00.00</t>
  </si>
  <si>
    <t>N</t>
  </si>
  <si>
    <t>disegno specola STD</t>
  </si>
  <si>
    <t>disegno specola HT</t>
  </si>
  <si>
    <t>P</t>
  </si>
  <si>
    <t>Z</t>
  </si>
  <si>
    <t>Forn. Cliente</t>
  </si>
  <si>
    <t>Fornitura</t>
  </si>
  <si>
    <t>flg_mrid_forn</t>
  </si>
  <si>
    <t>TRASMEC</t>
  </si>
  <si>
    <t>dimens</t>
  </si>
  <si>
    <t>50 OSB</t>
  </si>
  <si>
    <t>60 OSB</t>
  </si>
  <si>
    <t>80 OSB</t>
  </si>
  <si>
    <t>24 STD</t>
  </si>
  <si>
    <t>30 STD</t>
  </si>
  <si>
    <t>40 STD</t>
  </si>
  <si>
    <t>50 STD</t>
  </si>
  <si>
    <t>60 STD</t>
  </si>
  <si>
    <t>esec</t>
  </si>
  <si>
    <t>riv. fondo</t>
  </si>
  <si>
    <t>pale</t>
  </si>
  <si>
    <t>all.catena</t>
  </si>
  <si>
    <t>perni</t>
  </si>
  <si>
    <t>h cassa</t>
  </si>
  <si>
    <t>categoria</t>
  </si>
  <si>
    <t>TKKB31</t>
  </si>
  <si>
    <t>TKK 24 BRZ-STD</t>
  </si>
  <si>
    <t>generico</t>
  </si>
  <si>
    <t>S355</t>
  </si>
  <si>
    <t>CT0046</t>
  </si>
  <si>
    <t>14226 MN</t>
  </si>
  <si>
    <t>STD</t>
  </si>
  <si>
    <t>E02</t>
  </si>
  <si>
    <t>E03</t>
  </si>
  <si>
    <t>TKKB32</t>
  </si>
  <si>
    <t>TKK 24 BRZ-STD HD</t>
  </si>
  <si>
    <t>resinato</t>
  </si>
  <si>
    <t>HD1000</t>
  </si>
  <si>
    <t>HD500</t>
  </si>
  <si>
    <t>CT0058</t>
  </si>
  <si>
    <t>14226 CN</t>
  </si>
  <si>
    <t>TKKB33</t>
  </si>
  <si>
    <t>TKK 24 BRZ-STD HRX</t>
  </si>
  <si>
    <t>abrasivo</t>
  </si>
  <si>
    <t>CT0200</t>
  </si>
  <si>
    <t>TKKB34</t>
  </si>
  <si>
    <t>TKK 24 BRZ-OSB</t>
  </si>
  <si>
    <t>TKKB35</t>
  </si>
  <si>
    <t>TKK 24 BRZ-OSB HD</t>
  </si>
  <si>
    <t>OSB resinato</t>
  </si>
  <si>
    <t>TKKB36</t>
  </si>
  <si>
    <t>TKK 30 BRZ-STD</t>
  </si>
  <si>
    <t>CT0047</t>
  </si>
  <si>
    <t>TKKB37</t>
  </si>
  <si>
    <t>TKK 30 BRZ-STD HD</t>
  </si>
  <si>
    <t>CT0059</t>
  </si>
  <si>
    <t>TKKB38</t>
  </si>
  <si>
    <t>TKK 30 BRZ-STD HRX</t>
  </si>
  <si>
    <t>CT0201</t>
  </si>
  <si>
    <t>TKKB39</t>
  </si>
  <si>
    <t>TKK 30 BRZ-OSB</t>
  </si>
  <si>
    <t>TKKB40</t>
  </si>
  <si>
    <t>TKK 30 BRZ-OSB HD</t>
  </si>
  <si>
    <t>TKKB41</t>
  </si>
  <si>
    <t>TKK 40 BRZ-STD</t>
  </si>
  <si>
    <t>CT0048</t>
  </si>
  <si>
    <t>TKKB42</t>
  </si>
  <si>
    <t>TKK 40 BRZ-STD HD</t>
  </si>
  <si>
    <t>CT0060</t>
  </si>
  <si>
    <t>TKKB43</t>
  </si>
  <si>
    <t>TKK 40 BRZ-STD HRX</t>
  </si>
  <si>
    <t>CT0202</t>
  </si>
  <si>
    <t>TKKB44</t>
  </si>
  <si>
    <t>TKK 40 BRZ-OSB</t>
  </si>
  <si>
    <t>TKKB45</t>
  </si>
  <si>
    <t>TKK 40 BRZ-OSB HD</t>
  </si>
  <si>
    <t>TKKB46</t>
  </si>
  <si>
    <t>TKK 50 BRZ-STD</t>
  </si>
  <si>
    <t>CT0049</t>
  </si>
  <si>
    <t>TKKB47</t>
  </si>
  <si>
    <t>TKK 50 BRZ-STD HD</t>
  </si>
  <si>
    <t>CT0061</t>
  </si>
  <si>
    <t>TKKB48</t>
  </si>
  <si>
    <t>TKK 50 BRZ-STD HRX</t>
  </si>
  <si>
    <t>TKKB49</t>
  </si>
  <si>
    <t>TKK 50 BRZ-HP</t>
  </si>
  <si>
    <t>TKKB50</t>
  </si>
  <si>
    <t>TKK 50 BRZ-HP HD</t>
  </si>
  <si>
    <t>TKKB51</t>
  </si>
  <si>
    <t>TKK 50 BRZ-HP HRX</t>
  </si>
  <si>
    <t>TKKB52</t>
  </si>
  <si>
    <t>TKK 50 BRZ-HP OSB</t>
  </si>
  <si>
    <t>CT0052</t>
  </si>
  <si>
    <t>TKKB54</t>
  </si>
  <si>
    <t>TKK 60 BRZ-STD</t>
  </si>
  <si>
    <t>CT0050</t>
  </si>
  <si>
    <t>TKKB55</t>
  </si>
  <si>
    <t>TKK 60 BRZ-STD HD</t>
  </si>
  <si>
    <t>TKKB56</t>
  </si>
  <si>
    <t>TKK 60 BRZ-STD HRX</t>
  </si>
  <si>
    <t>TKKB57</t>
  </si>
  <si>
    <t>TKK 60 BRZ-HP</t>
  </si>
  <si>
    <t>TKKB58</t>
  </si>
  <si>
    <t>TKK 60 BRZ-HP HD</t>
  </si>
  <si>
    <t>TKKB59</t>
  </si>
  <si>
    <t>TKK 60 BRZ-HP HRX</t>
  </si>
  <si>
    <t>TKKB60</t>
  </si>
  <si>
    <t>TKK 60 BRZ-HP OSB</t>
  </si>
  <si>
    <t>CT0053</t>
  </si>
  <si>
    <t>TKKB62</t>
  </si>
  <si>
    <t>TKK 80 BRZ-HP</t>
  </si>
  <si>
    <t>CT0051</t>
  </si>
  <si>
    <t>TKKB63</t>
  </si>
  <si>
    <t>TKK 80 BRZ-HP HD</t>
  </si>
  <si>
    <t>CT0063</t>
  </si>
  <si>
    <t>TKKB64</t>
  </si>
  <si>
    <t>TKK 80 BRZ-HP HRX</t>
  </si>
  <si>
    <t>TKKB65</t>
  </si>
  <si>
    <t>TKK 80 BRZ-HP OSB</t>
  </si>
  <si>
    <t>CT0054</t>
  </si>
  <si>
    <t>mat</t>
  </si>
  <si>
    <t>cop</t>
  </si>
  <si>
    <t>chg</t>
  </si>
  <si>
    <t>cat</t>
  </si>
  <si>
    <t>S</t>
  </si>
  <si>
    <t>W</t>
  </si>
  <si>
    <t>Trasportatori a catena TKK</t>
  </si>
  <si>
    <t>Codifica sintetica</t>
  </si>
  <si>
    <t>OSB RESINATO</t>
  </si>
  <si>
    <t>categoria materiale</t>
  </si>
  <si>
    <t>Definizione della macchina</t>
  </si>
  <si>
    <t>Larghezza</t>
  </si>
  <si>
    <t>Guide</t>
  </si>
  <si>
    <t>Coperchio</t>
  </si>
  <si>
    <t>H fiancata</t>
  </si>
  <si>
    <t>largh</t>
  </si>
  <si>
    <t>H fianc</t>
  </si>
  <si>
    <t>Esecuzione</t>
  </si>
  <si>
    <t>cod sint</t>
  </si>
  <si>
    <t>STD PE</t>
  </si>
  <si>
    <t>OSB PE</t>
  </si>
  <si>
    <t>OSB R</t>
  </si>
  <si>
    <t>STD R</t>
  </si>
  <si>
    <t>mod base</t>
  </si>
  <si>
    <t>mod</t>
  </si>
  <si>
    <t>sp fondo</t>
  </si>
  <si>
    <t>sp coperchio</t>
  </si>
  <si>
    <t>sp fiancate</t>
  </si>
  <si>
    <t>sp. rivest.</t>
  </si>
  <si>
    <t>sp_riv</t>
  </si>
  <si>
    <t>mac_cod_sint</t>
  </si>
  <si>
    <t>esec_dati</t>
  </si>
  <si>
    <t>TKK 24÷40</t>
  </si>
  <si>
    <t>Codici casse</t>
  </si>
  <si>
    <t>L cassa</t>
  </si>
  <si>
    <t>05B</t>
  </si>
  <si>
    <t>05D</t>
  </si>
  <si>
    <t>05F</t>
  </si>
  <si>
    <t>05H</t>
  </si>
  <si>
    <t>05J</t>
  </si>
  <si>
    <t>05K</t>
  </si>
  <si>
    <t>06B</t>
  </si>
  <si>
    <t>06D</t>
  </si>
  <si>
    <t>06F</t>
  </si>
  <si>
    <t>06H</t>
  </si>
  <si>
    <t>06J</t>
  </si>
  <si>
    <t>06K</t>
  </si>
  <si>
    <t>07B</t>
  </si>
  <si>
    <t>07D</t>
  </si>
  <si>
    <t>07F</t>
  </si>
  <si>
    <t>07H</t>
  </si>
  <si>
    <t>07J</t>
  </si>
  <si>
    <t>07K</t>
  </si>
  <si>
    <t>08B</t>
  </si>
  <si>
    <t>08D</t>
  </si>
  <si>
    <t>08F</t>
  </si>
  <si>
    <t>08H</t>
  </si>
  <si>
    <t>08J</t>
  </si>
  <si>
    <t>08K</t>
  </si>
  <si>
    <t>09B</t>
  </si>
  <si>
    <t>09D</t>
  </si>
  <si>
    <t>09F</t>
  </si>
  <si>
    <t>09H</t>
  </si>
  <si>
    <t>09J</t>
  </si>
  <si>
    <t>09K</t>
  </si>
  <si>
    <t>10B</t>
  </si>
  <si>
    <t>10D</t>
  </si>
  <si>
    <t>10F</t>
  </si>
  <si>
    <t>10H</t>
  </si>
  <si>
    <t>10J</t>
  </si>
  <si>
    <t>10K</t>
  </si>
  <si>
    <t>11B</t>
  </si>
  <si>
    <t>11D</t>
  </si>
  <si>
    <t>11F</t>
  </si>
  <si>
    <t>11H</t>
  </si>
  <si>
    <t>11J</t>
  </si>
  <si>
    <t>11K</t>
  </si>
  <si>
    <t>12B</t>
  </si>
  <si>
    <t>12D</t>
  </si>
  <si>
    <t>12F</t>
  </si>
  <si>
    <t>12H</t>
  </si>
  <si>
    <t>12J</t>
  </si>
  <si>
    <t>12K</t>
  </si>
  <si>
    <t>13B</t>
  </si>
  <si>
    <t>13D</t>
  </si>
  <si>
    <t>13F</t>
  </si>
  <si>
    <t>13H</t>
  </si>
  <si>
    <t>13J</t>
  </si>
  <si>
    <t>13K</t>
  </si>
  <si>
    <t>14B</t>
  </si>
  <si>
    <t>14D</t>
  </si>
  <si>
    <t>14F</t>
  </si>
  <si>
    <t>14H</t>
  </si>
  <si>
    <t>14J</t>
  </si>
  <si>
    <t>14K</t>
  </si>
  <si>
    <t>15B</t>
  </si>
  <si>
    <t>15D</t>
  </si>
  <si>
    <t>15F</t>
  </si>
  <si>
    <t>15H</t>
  </si>
  <si>
    <t>15J</t>
  </si>
  <si>
    <t>15K</t>
  </si>
  <si>
    <t>16B</t>
  </si>
  <si>
    <t>16D</t>
  </si>
  <si>
    <t>16F</t>
  </si>
  <si>
    <t>16H</t>
  </si>
  <si>
    <t>16J</t>
  </si>
  <si>
    <t>16K</t>
  </si>
  <si>
    <t>17B</t>
  </si>
  <si>
    <t>17D</t>
  </si>
  <si>
    <t>17F</t>
  </si>
  <si>
    <t>17H</t>
  </si>
  <si>
    <t>17J</t>
  </si>
  <si>
    <t>17K</t>
  </si>
  <si>
    <t>18B</t>
  </si>
  <si>
    <t>18D</t>
  </si>
  <si>
    <t>18F</t>
  </si>
  <si>
    <t>18H</t>
  </si>
  <si>
    <t>18J</t>
  </si>
  <si>
    <t>18K</t>
  </si>
  <si>
    <t>19B</t>
  </si>
  <si>
    <t>19D</t>
  </si>
  <si>
    <t>19F</t>
  </si>
  <si>
    <t>19H</t>
  </si>
  <si>
    <t>19J</t>
  </si>
  <si>
    <t>19K</t>
  </si>
  <si>
    <t>20B</t>
  </si>
  <si>
    <t>20D</t>
  </si>
  <si>
    <t>20F</t>
  </si>
  <si>
    <t>20H</t>
  </si>
  <si>
    <t>20J</t>
  </si>
  <si>
    <t>20K</t>
  </si>
  <si>
    <t>21B</t>
  </si>
  <si>
    <t>21D</t>
  </si>
  <si>
    <t>21F</t>
  </si>
  <si>
    <t>21H</t>
  </si>
  <si>
    <t>21J</t>
  </si>
  <si>
    <t>21K</t>
  </si>
  <si>
    <t>22B</t>
  </si>
  <si>
    <t>22D</t>
  </si>
  <si>
    <t>22F</t>
  </si>
  <si>
    <t>22H</t>
  </si>
  <si>
    <t>22J</t>
  </si>
  <si>
    <t>22K</t>
  </si>
  <si>
    <t>23B</t>
  </si>
  <si>
    <t>23D</t>
  </si>
  <si>
    <t>23F</t>
  </si>
  <si>
    <t>23H</t>
  </si>
  <si>
    <t>23J</t>
  </si>
  <si>
    <t>23K</t>
  </si>
  <si>
    <t>24B</t>
  </si>
  <si>
    <t>24D</t>
  </si>
  <si>
    <t>24F</t>
  </si>
  <si>
    <t>24H</t>
  </si>
  <si>
    <t>24J</t>
  </si>
  <si>
    <t>24K</t>
  </si>
  <si>
    <t>25B</t>
  </si>
  <si>
    <t>25D</t>
  </si>
  <si>
    <t>25F</t>
  </si>
  <si>
    <t>25H</t>
  </si>
  <si>
    <t>25J</t>
  </si>
  <si>
    <t>25K</t>
  </si>
  <si>
    <t>26B</t>
  </si>
  <si>
    <t>26D</t>
  </si>
  <si>
    <t>26F</t>
  </si>
  <si>
    <t>26H</t>
  </si>
  <si>
    <t>26J</t>
  </si>
  <si>
    <t>26K</t>
  </si>
  <si>
    <t>27B</t>
  </si>
  <si>
    <t>27D</t>
  </si>
  <si>
    <t>27F</t>
  </si>
  <si>
    <t>27H</t>
  </si>
  <si>
    <t>27J</t>
  </si>
  <si>
    <t>27K</t>
  </si>
  <si>
    <t>28B</t>
  </si>
  <si>
    <t>28D</t>
  </si>
  <si>
    <t>28F</t>
  </si>
  <si>
    <t>28H</t>
  </si>
  <si>
    <t>28J</t>
  </si>
  <si>
    <t>28K</t>
  </si>
  <si>
    <t>29B</t>
  </si>
  <si>
    <t>29D</t>
  </si>
  <si>
    <t>29F</t>
  </si>
  <si>
    <t>29H</t>
  </si>
  <si>
    <t>29J</t>
  </si>
  <si>
    <t>29K</t>
  </si>
  <si>
    <t>30B</t>
  </si>
  <si>
    <t>30D</t>
  </si>
  <si>
    <t>30F</t>
  </si>
  <si>
    <t>30H</t>
  </si>
  <si>
    <t>30J</t>
  </si>
  <si>
    <t>30K</t>
  </si>
  <si>
    <t>Standard - Fondo rivestito</t>
  </si>
  <si>
    <t>Fondo PE</t>
  </si>
  <si>
    <t>05L</t>
  </si>
  <si>
    <t>06L</t>
  </si>
  <si>
    <t>07L</t>
  </si>
  <si>
    <t>08L</t>
  </si>
  <si>
    <t>09L</t>
  </si>
  <si>
    <t>10L</t>
  </si>
  <si>
    <t>11L</t>
  </si>
  <si>
    <t>12L</t>
  </si>
  <si>
    <t>13L</t>
  </si>
  <si>
    <t>14L</t>
  </si>
  <si>
    <t>15L</t>
  </si>
  <si>
    <t>16L</t>
  </si>
  <si>
    <t>17L</t>
  </si>
  <si>
    <t>18L</t>
  </si>
  <si>
    <t>19L</t>
  </si>
  <si>
    <t>20L</t>
  </si>
  <si>
    <t>21L</t>
  </si>
  <si>
    <t>22L</t>
  </si>
  <si>
    <t>23L</t>
  </si>
  <si>
    <t>24L</t>
  </si>
  <si>
    <t>25L</t>
  </si>
  <si>
    <t>26L</t>
  </si>
  <si>
    <t>27L</t>
  </si>
  <si>
    <t>28L</t>
  </si>
  <si>
    <t>29L</t>
  </si>
  <si>
    <t>30L</t>
  </si>
  <si>
    <t>L_24_40</t>
  </si>
  <si>
    <t>L_50_60N</t>
  </si>
  <si>
    <t>M</t>
  </si>
  <si>
    <t>orizzontale</t>
  </si>
  <si>
    <t>verticale</t>
  </si>
  <si>
    <t>carico</t>
  </si>
  <si>
    <t>ausiliaria</t>
  </si>
  <si>
    <t>Intervallo misure&gt;</t>
  </si>
  <si>
    <t>L carico</t>
  </si>
  <si>
    <t>W carico</t>
  </si>
  <si>
    <t>L_50_80L</t>
  </si>
  <si>
    <t>casse_tipi</t>
  </si>
  <si>
    <t>casse_opt</t>
  </si>
  <si>
    <t>tipo cassa</t>
  </si>
  <si>
    <t>015</t>
  </si>
  <si>
    <t>016</t>
  </si>
  <si>
    <t>pos. col cassa</t>
  </si>
  <si>
    <t>cassa tipo</t>
  </si>
  <si>
    <t>W int cassa</t>
  </si>
  <si>
    <t>configurazione</t>
  </si>
  <si>
    <t>R base cguida inf</t>
  </si>
  <si>
    <t>R base guida sup</t>
  </si>
  <si>
    <t>R base cguida sup</t>
  </si>
  <si>
    <t>guida sup</t>
  </si>
  <si>
    <t>cguida sup</t>
  </si>
  <si>
    <t>Lunghezza guide</t>
  </si>
  <si>
    <t>CI ang cguida sup</t>
  </si>
  <si>
    <t>inf</t>
  </si>
  <si>
    <t>R base guida inf</t>
  </si>
  <si>
    <t>flg_mrid_lato</t>
  </si>
  <si>
    <t>flg_mrid_tipo</t>
  </si>
  <si>
    <t>flg</t>
  </si>
  <si>
    <t>J</t>
  </si>
  <si>
    <t>K</t>
  </si>
  <si>
    <t>KT127</t>
  </si>
  <si>
    <t>KT157</t>
  </si>
  <si>
    <t>Q</t>
  </si>
  <si>
    <t>T</t>
  </si>
  <si>
    <t>U</t>
  </si>
  <si>
    <t>KSS 136A</t>
  </si>
  <si>
    <t>KSS 139A</t>
  </si>
  <si>
    <t>Y</t>
  </si>
  <si>
    <t>R0</t>
  </si>
  <si>
    <t>R1</t>
  </si>
  <si>
    <t>R2</t>
  </si>
  <si>
    <t>R3</t>
  </si>
  <si>
    <t>R4</t>
  </si>
  <si>
    <t>R5</t>
  </si>
  <si>
    <t>R6</t>
  </si>
  <si>
    <t>R7</t>
  </si>
  <si>
    <t>R8</t>
  </si>
  <si>
    <t>R9</t>
  </si>
  <si>
    <t>Suffisso testate comando</t>
  </si>
  <si>
    <t>tab_tcom_cod</t>
  </si>
  <si>
    <t>M16x90</t>
  </si>
  <si>
    <t>n/ruota</t>
  </si>
  <si>
    <t>014.00.05.00.70.00</t>
  </si>
  <si>
    <t>015.00.05.00.70.00</t>
  </si>
  <si>
    <t>016.00.05.00.70.00</t>
  </si>
  <si>
    <t>014.40.12.00.07.00</t>
  </si>
  <si>
    <t>014.24.12.00.07.00</t>
  </si>
  <si>
    <t>014.30.12.00.07.00</t>
  </si>
  <si>
    <t>015.50.12.00.09.00</t>
  </si>
  <si>
    <t>015.60.12.00.09.00</t>
  </si>
  <si>
    <t>016.80.12.00.09.00</t>
  </si>
  <si>
    <t>016.50.12.00.09.00</t>
  </si>
  <si>
    <t>016.60.12.00.09.00</t>
  </si>
  <si>
    <t>L catena (1 ramo)</t>
  </si>
  <si>
    <t>115x140x12</t>
  </si>
  <si>
    <t>FRB 13/230</t>
  </si>
  <si>
    <t>codice A+P</t>
  </si>
  <si>
    <t>125x150x12</t>
  </si>
  <si>
    <t>(*) per ogni coppia di sopporti</t>
  </si>
  <si>
    <t>Anelli arresto*</t>
  </si>
  <si>
    <t>(*) quantità per una coppia di sopporti</t>
  </si>
  <si>
    <t>11.5009.0509</t>
  </si>
  <si>
    <t>11.5009.0510</t>
  </si>
  <si>
    <t>11.5009.0513</t>
  </si>
  <si>
    <t>135x160x12</t>
  </si>
  <si>
    <t>11.5009.0518</t>
  </si>
  <si>
    <t>22226 EK + H 3126</t>
  </si>
  <si>
    <t>22228 EK + H 3128</t>
  </si>
  <si>
    <t>23130 CCK + H 3130</t>
  </si>
  <si>
    <t>23034 CCK + H 3034</t>
  </si>
  <si>
    <t>150x180x12</t>
  </si>
  <si>
    <t>bulloneria_sopp</t>
  </si>
  <si>
    <t>tipo sopporto</t>
  </si>
  <si>
    <t>UNI 6592 - 17x30</t>
  </si>
  <si>
    <t>UNI 5931-M16x140-8.8</t>
  </si>
  <si>
    <t>UNI 5931-M16x150-8.8</t>
  </si>
  <si>
    <t>D albero mrid</t>
  </si>
  <si>
    <t>D mozzo</t>
  </si>
  <si>
    <t>linguetta</t>
  </si>
  <si>
    <t>trasporto</t>
  </si>
  <si>
    <t>90x120x12</t>
  </si>
  <si>
    <t>11.5009.0488</t>
  </si>
  <si>
    <t>70x100x10</t>
  </si>
  <si>
    <t>11.5009.0475</t>
  </si>
  <si>
    <t>UNI 6604 B-32x18x160</t>
  </si>
  <si>
    <t>UNI 6604 B-36x20x160</t>
  </si>
  <si>
    <t>UNI 6604 B-20x12x140</t>
  </si>
  <si>
    <t>UNI 6604 B-25x14x140</t>
  </si>
  <si>
    <t>trasmissione (R)</t>
  </si>
  <si>
    <t>UNI 6604 B-32x18x140</t>
  </si>
  <si>
    <t>UNI 6604 B-36x20x140</t>
  </si>
  <si>
    <t>UNI 6604 B-28x16x140</t>
  </si>
  <si>
    <t>barra filettata M</t>
  </si>
  <si>
    <t>barra filettata Tr</t>
  </si>
  <si>
    <t>Tr36x6</t>
  </si>
  <si>
    <t>A.25.550</t>
  </si>
  <si>
    <t>B.25.550</t>
  </si>
  <si>
    <t>B.40.550</t>
  </si>
  <si>
    <t>F.40.550</t>
  </si>
  <si>
    <t>F.25.550</t>
  </si>
  <si>
    <t>012.00.90.70.00.00</t>
  </si>
  <si>
    <t>012.00.90.60.00.00</t>
  </si>
  <si>
    <t>012.00.90.50.00.00</t>
  </si>
  <si>
    <t>attacco snodo</t>
  </si>
  <si>
    <t>014.00.02.00.92.00</t>
  </si>
  <si>
    <t>Attacco snodo</t>
  </si>
  <si>
    <t>25</t>
  </si>
  <si>
    <t>40</t>
  </si>
  <si>
    <t>D perno reazione</t>
  </si>
  <si>
    <t>03</t>
  </si>
  <si>
    <t>04</t>
  </si>
  <si>
    <t>05</t>
  </si>
  <si>
    <t>Hercules</t>
  </si>
  <si>
    <t>014.00.95.25.55.00</t>
  </si>
  <si>
    <t>014.00.95.40.55.00</t>
  </si>
  <si>
    <t>bulloneria_giunzione</t>
  </si>
  <si>
    <t>n giunzioni</t>
  </si>
  <si>
    <t>n/giunz.</t>
  </si>
  <si>
    <t>giunzione</t>
  </si>
  <si>
    <t>flangia fiancata</t>
  </si>
  <si>
    <t>coperchio</t>
  </si>
  <si>
    <t>fiancata</t>
  </si>
  <si>
    <t>pannello PE</t>
  </si>
  <si>
    <t>coprigiunto fondo PE</t>
  </si>
  <si>
    <t>fondo std</t>
  </si>
  <si>
    <t>coprigiunto fondo std</t>
  </si>
  <si>
    <t>profilo trasv. sup.</t>
  </si>
  <si>
    <t>fiancata fondo</t>
  </si>
  <si>
    <t>coprigiunto</t>
  </si>
  <si>
    <t>pannello fondo PE</t>
  </si>
  <si>
    <t>fondo + coprigiunto</t>
  </si>
  <si>
    <t>UNI 5739-M16x45-8.8</t>
  </si>
  <si>
    <t>UNI 5739-M12x30-8.8</t>
  </si>
  <si>
    <t>UNI 5933-M12x40-8.8</t>
  </si>
  <si>
    <t>UNI 6593-14x36</t>
  </si>
  <si>
    <t>UNI 6592-13x24</t>
  </si>
  <si>
    <t>UNI 5588-M12-8</t>
  </si>
  <si>
    <t>UNI 5588-M16-8</t>
  </si>
  <si>
    <t>UNI 7473-M12-8</t>
  </si>
  <si>
    <t>UNI 5739-M12x55-8.8</t>
  </si>
  <si>
    <t>bulloneria giunzione</t>
  </si>
  <si>
    <t>bul_24_40STD</t>
  </si>
  <si>
    <t>bul_50_60STD</t>
  </si>
  <si>
    <t>bul_50_80OSB</t>
  </si>
  <si>
    <t>bul_elenco</t>
  </si>
  <si>
    <t>bul_50_80STD</t>
  </si>
  <si>
    <t>mod_base</t>
  </si>
  <si>
    <t>TKK 50÷60 STD</t>
  </si>
  <si>
    <t>05N</t>
  </si>
  <si>
    <t>06N</t>
  </si>
  <si>
    <t>07N</t>
  </si>
  <si>
    <t>08N</t>
  </si>
  <si>
    <t>09N</t>
  </si>
  <si>
    <t>10N</t>
  </si>
  <si>
    <t>12N</t>
  </si>
  <si>
    <t>13N</t>
  </si>
  <si>
    <t>14N</t>
  </si>
  <si>
    <t>16N</t>
  </si>
  <si>
    <t>17N</t>
  </si>
  <si>
    <t>18N</t>
  </si>
  <si>
    <t>20N</t>
  </si>
  <si>
    <t>22N</t>
  </si>
  <si>
    <t>23N</t>
  </si>
  <si>
    <t>24N</t>
  </si>
  <si>
    <t>25N</t>
  </si>
  <si>
    <t>26N</t>
  </si>
  <si>
    <t>27N</t>
  </si>
  <si>
    <t>28N</t>
  </si>
  <si>
    <t>29N</t>
  </si>
  <si>
    <t>30N</t>
  </si>
  <si>
    <t>TKK 50÷80 HP</t>
  </si>
  <si>
    <t>31B</t>
  </si>
  <si>
    <t>31D</t>
  </si>
  <si>
    <t>31F</t>
  </si>
  <si>
    <t>31N</t>
  </si>
  <si>
    <t>31H</t>
  </si>
  <si>
    <t>31J</t>
  </si>
  <si>
    <t>31K</t>
  </si>
  <si>
    <t>31L</t>
  </si>
  <si>
    <t>32B</t>
  </si>
  <si>
    <t>32D</t>
  </si>
  <si>
    <t>32F</t>
  </si>
  <si>
    <t>32N</t>
  </si>
  <si>
    <t>32H</t>
  </si>
  <si>
    <t>32J</t>
  </si>
  <si>
    <t>32K</t>
  </si>
  <si>
    <t>32L</t>
  </si>
  <si>
    <t>33B</t>
  </si>
  <si>
    <t>33D</t>
  </si>
  <si>
    <t>33F</t>
  </si>
  <si>
    <t>33N</t>
  </si>
  <si>
    <t>33H</t>
  </si>
  <si>
    <t>33J</t>
  </si>
  <si>
    <t>33K</t>
  </si>
  <si>
    <t>33L</t>
  </si>
  <si>
    <t>34B</t>
  </si>
  <si>
    <t>34D</t>
  </si>
  <si>
    <t>34F</t>
  </si>
  <si>
    <t>34N</t>
  </si>
  <si>
    <t>34H</t>
  </si>
  <si>
    <t>34J</t>
  </si>
  <si>
    <t>34K</t>
  </si>
  <si>
    <t>34L</t>
  </si>
  <si>
    <t>35B</t>
  </si>
  <si>
    <t>35D</t>
  </si>
  <si>
    <t>35F</t>
  </si>
  <si>
    <t>35N</t>
  </si>
  <si>
    <t>35H</t>
  </si>
  <si>
    <t>35J</t>
  </si>
  <si>
    <t>35K</t>
  </si>
  <si>
    <t>35L</t>
  </si>
  <si>
    <t>36B</t>
  </si>
  <si>
    <t>36D</t>
  </si>
  <si>
    <t>36F</t>
  </si>
  <si>
    <t>36N</t>
  </si>
  <si>
    <t>36H</t>
  </si>
  <si>
    <t>36J</t>
  </si>
  <si>
    <t>36K</t>
  </si>
  <si>
    <t>36L</t>
  </si>
  <si>
    <t>37B</t>
  </si>
  <si>
    <t>37D</t>
  </si>
  <si>
    <t>37F</t>
  </si>
  <si>
    <t>37N</t>
  </si>
  <si>
    <t>37H</t>
  </si>
  <si>
    <t>37J</t>
  </si>
  <si>
    <t>37K</t>
  </si>
  <si>
    <t>37L</t>
  </si>
  <si>
    <t>38B</t>
  </si>
  <si>
    <t>38D</t>
  </si>
  <si>
    <t>38F</t>
  </si>
  <si>
    <t>38N</t>
  </si>
  <si>
    <t>38H</t>
  </si>
  <si>
    <t>38J</t>
  </si>
  <si>
    <t>38K</t>
  </si>
  <si>
    <t>38L</t>
  </si>
  <si>
    <t>39B</t>
  </si>
  <si>
    <t>39D</t>
  </si>
  <si>
    <t>39F</t>
  </si>
  <si>
    <t>39N</t>
  </si>
  <si>
    <t>39H</t>
  </si>
  <si>
    <t>39J</t>
  </si>
  <si>
    <t>39K</t>
  </si>
  <si>
    <t>39L</t>
  </si>
  <si>
    <t>40B</t>
  </si>
  <si>
    <t>40D</t>
  </si>
  <si>
    <t>40F</t>
  </si>
  <si>
    <t>40N</t>
  </si>
  <si>
    <t>40H</t>
  </si>
  <si>
    <t>40J</t>
  </si>
  <si>
    <t>40K</t>
  </si>
  <si>
    <t>40L</t>
  </si>
  <si>
    <t>41B</t>
  </si>
  <si>
    <t>41D</t>
  </si>
  <si>
    <t>41F</t>
  </si>
  <si>
    <t>41N</t>
  </si>
  <si>
    <t>41H</t>
  </si>
  <si>
    <t>41J</t>
  </si>
  <si>
    <t>41K</t>
  </si>
  <si>
    <t>41L</t>
  </si>
  <si>
    <t>42B</t>
  </si>
  <si>
    <t>42D</t>
  </si>
  <si>
    <t>42F</t>
  </si>
  <si>
    <t>42N</t>
  </si>
  <si>
    <t>42H</t>
  </si>
  <si>
    <t>42J</t>
  </si>
  <si>
    <t>42K</t>
  </si>
  <si>
    <t>42L</t>
  </si>
  <si>
    <t>43B</t>
  </si>
  <si>
    <t>43D</t>
  </si>
  <si>
    <t>43F</t>
  </si>
  <si>
    <t>43N</t>
  </si>
  <si>
    <t>43H</t>
  </si>
  <si>
    <t>43J</t>
  </si>
  <si>
    <t>43K</t>
  </si>
  <si>
    <t>43L</t>
  </si>
  <si>
    <t>44B</t>
  </si>
  <si>
    <t>44D</t>
  </si>
  <si>
    <t>44F</t>
  </si>
  <si>
    <t>44N</t>
  </si>
  <si>
    <t>44H</t>
  </si>
  <si>
    <t>44J</t>
  </si>
  <si>
    <t>44K</t>
  </si>
  <si>
    <t>44L</t>
  </si>
  <si>
    <t>45B</t>
  </si>
  <si>
    <t>45D</t>
  </si>
  <si>
    <t>45F</t>
  </si>
  <si>
    <t>45N</t>
  </si>
  <si>
    <t>45H</t>
  </si>
  <si>
    <t>45J</t>
  </si>
  <si>
    <t>45K</t>
  </si>
  <si>
    <t>45L</t>
  </si>
  <si>
    <t>46B</t>
  </si>
  <si>
    <t>46D</t>
  </si>
  <si>
    <t>46F</t>
  </si>
  <si>
    <t>46N</t>
  </si>
  <si>
    <t>46H</t>
  </si>
  <si>
    <t>46J</t>
  </si>
  <si>
    <t>46K</t>
  </si>
  <si>
    <t>46L</t>
  </si>
  <si>
    <t>47B</t>
  </si>
  <si>
    <t>47D</t>
  </si>
  <si>
    <t>47F</t>
  </si>
  <si>
    <t>47N</t>
  </si>
  <si>
    <t>47H</t>
  </si>
  <si>
    <t>47J</t>
  </si>
  <si>
    <t>47K</t>
  </si>
  <si>
    <t>47L</t>
  </si>
  <si>
    <t>48B</t>
  </si>
  <si>
    <t>48D</t>
  </si>
  <si>
    <t>48F</t>
  </si>
  <si>
    <t>48N</t>
  </si>
  <si>
    <t>48H</t>
  </si>
  <si>
    <t>48J</t>
  </si>
  <si>
    <t>48K</t>
  </si>
  <si>
    <t>48L</t>
  </si>
  <si>
    <t>49B</t>
  </si>
  <si>
    <t>49D</t>
  </si>
  <si>
    <t>49F</t>
  </si>
  <si>
    <t>49N</t>
  </si>
  <si>
    <t>49H</t>
  </si>
  <si>
    <t>49J</t>
  </si>
  <si>
    <t>49K</t>
  </si>
  <si>
    <t>49L</t>
  </si>
  <si>
    <t>50B</t>
  </si>
  <si>
    <t>50D</t>
  </si>
  <si>
    <t>50F</t>
  </si>
  <si>
    <t>50N</t>
  </si>
  <si>
    <t>50H</t>
  </si>
  <si>
    <t>50J</t>
  </si>
  <si>
    <t>50K</t>
  </si>
  <si>
    <t>50L</t>
  </si>
  <si>
    <t>51B</t>
  </si>
  <si>
    <t>51D</t>
  </si>
  <si>
    <t>51F</t>
  </si>
  <si>
    <t>51N</t>
  </si>
  <si>
    <t>51H</t>
  </si>
  <si>
    <t>51J</t>
  </si>
  <si>
    <t>51K</t>
  </si>
  <si>
    <t>51L</t>
  </si>
  <si>
    <t>52B</t>
  </si>
  <si>
    <t>52D</t>
  </si>
  <si>
    <t>52F</t>
  </si>
  <si>
    <t>52N</t>
  </si>
  <si>
    <t>52H</t>
  </si>
  <si>
    <t>52J</t>
  </si>
  <si>
    <t>52K</t>
  </si>
  <si>
    <t>52L</t>
  </si>
  <si>
    <t>53B</t>
  </si>
  <si>
    <t>53D</t>
  </si>
  <si>
    <t>53F</t>
  </si>
  <si>
    <t>53N</t>
  </si>
  <si>
    <t>53H</t>
  </si>
  <si>
    <t>53J</t>
  </si>
  <si>
    <t>53K</t>
  </si>
  <si>
    <t>53L</t>
  </si>
  <si>
    <t>54B</t>
  </si>
  <si>
    <t>54D</t>
  </si>
  <si>
    <t>54F</t>
  </si>
  <si>
    <t>54N</t>
  </si>
  <si>
    <t>54H</t>
  </si>
  <si>
    <t>54J</t>
  </si>
  <si>
    <t>54K</t>
  </si>
  <si>
    <t>54L</t>
  </si>
  <si>
    <t>55B</t>
  </si>
  <si>
    <t>55D</t>
  </si>
  <si>
    <t>55F</t>
  </si>
  <si>
    <t>55N</t>
  </si>
  <si>
    <t>55H</t>
  </si>
  <si>
    <t>55J</t>
  </si>
  <si>
    <t>55K</t>
  </si>
  <si>
    <t>55L</t>
  </si>
  <si>
    <t>56B</t>
  </si>
  <si>
    <t>56D</t>
  </si>
  <si>
    <t>56F</t>
  </si>
  <si>
    <t>56N</t>
  </si>
  <si>
    <t>56H</t>
  </si>
  <si>
    <t>56J</t>
  </si>
  <si>
    <t>56K</t>
  </si>
  <si>
    <t>56L</t>
  </si>
  <si>
    <t>57B</t>
  </si>
  <si>
    <t>57D</t>
  </si>
  <si>
    <t>57F</t>
  </si>
  <si>
    <t>57N</t>
  </si>
  <si>
    <t>57H</t>
  </si>
  <si>
    <t>57J</t>
  </si>
  <si>
    <t>57K</t>
  </si>
  <si>
    <t>57L</t>
  </si>
  <si>
    <t>58B</t>
  </si>
  <si>
    <t>58D</t>
  </si>
  <si>
    <t>58F</t>
  </si>
  <si>
    <t>58N</t>
  </si>
  <si>
    <t>58H</t>
  </si>
  <si>
    <t>58J</t>
  </si>
  <si>
    <t>58K</t>
  </si>
  <si>
    <t>58L</t>
  </si>
  <si>
    <t>59B</t>
  </si>
  <si>
    <t>59D</t>
  </si>
  <si>
    <t>59F</t>
  </si>
  <si>
    <t>59N</t>
  </si>
  <si>
    <t>59H</t>
  </si>
  <si>
    <t>59J</t>
  </si>
  <si>
    <t>59K</t>
  </si>
  <si>
    <t>59L</t>
  </si>
  <si>
    <t>60B</t>
  </si>
  <si>
    <t>60D</t>
  </si>
  <si>
    <t>60F</t>
  </si>
  <si>
    <t>60N</t>
  </si>
  <si>
    <t>60H</t>
  </si>
  <si>
    <t>60J</t>
  </si>
  <si>
    <t>60K</t>
  </si>
  <si>
    <t>60L</t>
  </si>
  <si>
    <t>L vite</t>
  </si>
  <si>
    <t>ID macchina</t>
  </si>
  <si>
    <t>pos. elenco</t>
  </si>
  <si>
    <t>macchina_pos</t>
  </si>
  <si>
    <t/>
  </si>
  <si>
    <t>SICURA</t>
  </si>
  <si>
    <t>Cavi per sensori</t>
  </si>
  <si>
    <t>EVC14A</t>
  </si>
  <si>
    <t>EVT004</t>
  </si>
  <si>
    <t>EVC005</t>
  </si>
  <si>
    <t>EVC05A</t>
  </si>
  <si>
    <t>EVM012</t>
  </si>
  <si>
    <t>cavi_sns</t>
  </si>
  <si>
    <t>cavo</t>
  </si>
  <si>
    <t>II502A</t>
  </si>
  <si>
    <t>IIC210</t>
  </si>
  <si>
    <t xml:space="preserve">II502A </t>
  </si>
  <si>
    <t>IFM216</t>
  </si>
  <si>
    <t>IF505A</t>
  </si>
  <si>
    <t>inclinazione (solo H)</t>
  </si>
  <si>
    <t>inclinazione</t>
  </si>
  <si>
    <t>cod_lato</t>
  </si>
  <si>
    <t>eliminare tabella mrid_K_pos in Dati</t>
  </si>
  <si>
    <t>Attacchi per spruzzatori</t>
  </si>
  <si>
    <t>comando</t>
  </si>
  <si>
    <t>quant. tot.</t>
  </si>
  <si>
    <t>Eliminato&gt;</t>
  </si>
  <si>
    <t>* NON DEFINITA *</t>
  </si>
  <si>
    <t>CT0207</t>
  </si>
  <si>
    <t>TKKB61</t>
  </si>
  <si>
    <t>CT0062</t>
  </si>
  <si>
    <t>opt</t>
  </si>
  <si>
    <t>cod. all.testata</t>
  </si>
  <si>
    <t>cod. all.telaio</t>
  </si>
  <si>
    <t>cod. all.</t>
  </si>
  <si>
    <t>disegno testata</t>
  </si>
  <si>
    <t>II 3/- D Ex h IIIC T135°C Dc/-</t>
  </si>
  <si>
    <t>II 3/3 D Ex h IIIC T135°C Dc/Dc</t>
  </si>
  <si>
    <t>II 2/- D Ex h IIIC T135°C Db/-</t>
  </si>
  <si>
    <t>II 2/3 D Ex h IIIC T135°C Db/Dc</t>
  </si>
  <si>
    <t>* NON DEFINITO *</t>
  </si>
  <si>
    <t>x</t>
  </si>
  <si>
    <t>all. catena</t>
  </si>
  <si>
    <t>disponibile</t>
  </si>
  <si>
    <t>standard</t>
  </si>
  <si>
    <t>coibentato</t>
  </si>
  <si>
    <t>DV00986</t>
  </si>
  <si>
    <t>DV00994</t>
  </si>
  <si>
    <t>DV00990</t>
  </si>
  <si>
    <t>Telai pannelli</t>
  </si>
  <si>
    <t>telai_pann</t>
  </si>
  <si>
    <t>materiale coperchi</t>
  </si>
  <si>
    <t>Guarnizioni per coperchi</t>
  </si>
  <si>
    <t>TKK24÷40 STD</t>
  </si>
  <si>
    <t>Casse STD</t>
  </si>
  <si>
    <t>Casse carico</t>
  </si>
  <si>
    <t>Inf</t>
  </si>
  <si>
    <t>Sup</t>
  </si>
  <si>
    <t>TKK50÷60 STD</t>
  </si>
  <si>
    <t>TKK50÷80 HP</t>
  </si>
  <si>
    <t>gcop_cstd_24_40STD</t>
  </si>
  <si>
    <t>gcop_ccar_24_40STD</t>
  </si>
  <si>
    <t>gcop_cinf_24_40STD</t>
  </si>
  <si>
    <t>gcop_csup_24_40STD</t>
  </si>
  <si>
    <t>gcop_com_24_40STD</t>
  </si>
  <si>
    <t>gcop_rnv_24_40STD</t>
  </si>
  <si>
    <t>gcop_cstd_50_60STD</t>
  </si>
  <si>
    <t>gcop_ccar_50_60STD</t>
  </si>
  <si>
    <t>gcop_cinf_50_60STD</t>
  </si>
  <si>
    <t>gcop_csup_50_60STD</t>
  </si>
  <si>
    <t>gcop_com_50_60STD</t>
  </si>
  <si>
    <t>gcop_rnv_50_60STD</t>
  </si>
  <si>
    <t>gcop_cstd_50_80OSB</t>
  </si>
  <si>
    <t>gcop_ccar_50_80OSB</t>
  </si>
  <si>
    <t>gcop_cinf_50_80OSB</t>
  </si>
  <si>
    <t>gcop_csup_50_80OSB</t>
  </si>
  <si>
    <t>gcop_com_50_80OSB</t>
  </si>
  <si>
    <t>gcop_rnv_50_80OSB</t>
  </si>
  <si>
    <t>COM</t>
  </si>
  <si>
    <t>RNV</t>
  </si>
  <si>
    <t>guarnizioni</t>
  </si>
  <si>
    <t>guarnizioni cassa carico</t>
  </si>
  <si>
    <t>guarnizioni cassa std</t>
  </si>
  <si>
    <t>guarnizioni curva inf</t>
  </si>
  <si>
    <t>guarnizioni curva sup</t>
  </si>
  <si>
    <t>guarnizioni comando</t>
  </si>
  <si>
    <t>guarnizioni rinvio</t>
  </si>
  <si>
    <t>cassa carico</t>
  </si>
  <si>
    <t>cassa std</t>
  </si>
  <si>
    <t>curva inf</t>
  </si>
  <si>
    <t>curva sup</t>
  </si>
  <si>
    <t>rinvio</t>
  </si>
  <si>
    <t>&lt; cancellare</t>
  </si>
  <si>
    <t>W_cassa</t>
  </si>
  <si>
    <t>guarnizione pos. colonna</t>
  </si>
  <si>
    <t>pos. colonna</t>
  </si>
  <si>
    <t>CERCA.VERT(mod_base;macchina_dati;23;FALSO);FALSO)</t>
  </si>
  <si>
    <t>L guarnizioni</t>
  </si>
  <si>
    <t>Guarnizioni</t>
  </si>
  <si>
    <t>Neoprene</t>
  </si>
  <si>
    <t>40x2</t>
  </si>
  <si>
    <t>Feltro</t>
  </si>
  <si>
    <t>30x2</t>
  </si>
  <si>
    <t>gruarnizione</t>
  </si>
  <si>
    <t>lamiera mobile</t>
  </si>
  <si>
    <t>staffe</t>
  </si>
  <si>
    <t>014.00.00.00.00.99</t>
  </si>
  <si>
    <t>R005367</t>
  </si>
  <si>
    <t>XS630B1PAM12</t>
  </si>
  <si>
    <t>CT0225</t>
  </si>
  <si>
    <t>KAS169</t>
  </si>
  <si>
    <t>KAS189</t>
  </si>
  <si>
    <t>S04</t>
  </si>
  <si>
    <t>S05</t>
  </si>
  <si>
    <t>S06</t>
  </si>
  <si>
    <t>S07</t>
  </si>
  <si>
    <t>S08</t>
  </si>
  <si>
    <t>S09</t>
  </si>
  <si>
    <t>S10</t>
  </si>
  <si>
    <t>S11</t>
  </si>
  <si>
    <t>S12</t>
  </si>
  <si>
    <t>S13</t>
  </si>
  <si>
    <t>S14</t>
  </si>
  <si>
    <t>S15</t>
  </si>
  <si>
    <t>KAS129</t>
  </si>
  <si>
    <t>KAS149</t>
  </si>
  <si>
    <t>mrid equiv.</t>
  </si>
  <si>
    <t>CT0275</t>
  </si>
  <si>
    <t>Rev</t>
  </si>
  <si>
    <t>CT0277</t>
  </si>
  <si>
    <t>CT0276</t>
  </si>
  <si>
    <t>D115</t>
  </si>
  <si>
    <t>D125</t>
  </si>
  <si>
    <t>D135</t>
  </si>
  <si>
    <t>D150</t>
  </si>
  <si>
    <t>012.00.50.43.00.00</t>
  </si>
  <si>
    <t>SI</t>
  </si>
  <si>
    <t>DX</t>
  </si>
  <si>
    <t>KAZS129</t>
  </si>
  <si>
    <t>KAZS149</t>
  </si>
  <si>
    <t>52</t>
  </si>
  <si>
    <t>53</t>
  </si>
  <si>
    <t>UNI 1751-A20</t>
  </si>
  <si>
    <t>012.00.50.52.00.00</t>
  </si>
  <si>
    <t>UNI 5739-M24x60-8.8</t>
  </si>
  <si>
    <t>UNI 1751-A24</t>
  </si>
  <si>
    <t>012.00.50.53.00.00</t>
  </si>
  <si>
    <t>S16</t>
  </si>
  <si>
    <t>S17</t>
  </si>
  <si>
    <t>S18</t>
  </si>
  <si>
    <t>S19</t>
  </si>
  <si>
    <t>S20</t>
  </si>
  <si>
    <t>S21</t>
  </si>
  <si>
    <t>CT0290</t>
  </si>
  <si>
    <t>CT02268</t>
  </si>
  <si>
    <t>disco</t>
  </si>
  <si>
    <t>014.00.05.04.90.00</t>
  </si>
  <si>
    <t>015.00.05.08.90.00</t>
  </si>
  <si>
    <t>Disco segnalatore</t>
  </si>
  <si>
    <t>UNI 5739-M24x70-8.8</t>
  </si>
  <si>
    <t>M14x90</t>
  </si>
  <si>
    <t>motorizzato</t>
  </si>
  <si>
    <t>flg_rnv_mot</t>
  </si>
  <si>
    <t>D trasporto (non mot.)</t>
  </si>
  <si>
    <t>D trasporto (motorizzato)</t>
  </si>
  <si>
    <t>SX</t>
  </si>
  <si>
    <t>39NiCrMo3</t>
  </si>
  <si>
    <t>albero (non mot.)</t>
  </si>
  <si>
    <t>albero (motorizzato)</t>
  </si>
  <si>
    <t>014.24.12.01.07.00</t>
  </si>
  <si>
    <t>014.30.12.01.07.00</t>
  </si>
  <si>
    <t>014.40.12.01.07.00</t>
  </si>
  <si>
    <t>015.50.12.01.09.00</t>
  </si>
  <si>
    <t>015.60.12.01.09.00</t>
  </si>
  <si>
    <t>016.50.12.01.09.00</t>
  </si>
  <si>
    <t>016.60.12.01.09.00</t>
  </si>
  <si>
    <t>016.80.12.01.09.00</t>
  </si>
  <si>
    <t>UNI 6604 B-22x14x140</t>
  </si>
  <si>
    <t>024</t>
  </si>
  <si>
    <t>TKKB67</t>
  </si>
  <si>
    <t>TKK 19 BRZ-STD-1</t>
  </si>
  <si>
    <t>50x10</t>
  </si>
  <si>
    <t>CT0303</t>
  </si>
  <si>
    <t>14218 MN</t>
  </si>
  <si>
    <t>TKKB68</t>
  </si>
  <si>
    <t>TKKB69</t>
  </si>
  <si>
    <t>CT0294</t>
  </si>
  <si>
    <t>TKKB70</t>
  </si>
  <si>
    <t>TKK 19 BRZ-HRX-1</t>
  </si>
  <si>
    <t>TKK 19 BRZ-HD-1</t>
  </si>
  <si>
    <t>TKK 19 BRZ-STD-2</t>
  </si>
  <si>
    <t>LU</t>
  </si>
  <si>
    <t>TKKB73</t>
  </si>
  <si>
    <t>TKKB74</t>
  </si>
  <si>
    <t>TKKB75</t>
  </si>
  <si>
    <t>TKKB76</t>
  </si>
  <si>
    <t>TKKB77</t>
  </si>
  <si>
    <t>TKKB78</t>
  </si>
  <si>
    <t>TKKB79</t>
  </si>
  <si>
    <t>TKKB80</t>
  </si>
  <si>
    <t>TKKB81</t>
  </si>
  <si>
    <t>STANDARD</t>
  </si>
  <si>
    <t>controllo coppia</t>
  </si>
  <si>
    <t>dado autofrenante</t>
  </si>
  <si>
    <t>rilevazione esplosione</t>
  </si>
  <si>
    <t>Traduzione termini</t>
  </si>
  <si>
    <t>ID_ lingua</t>
  </si>
  <si>
    <t>IT</t>
  </si>
  <si>
    <t>EN</t>
  </si>
  <si>
    <t>&lt;NON COMPILARE / DO NOT FILL IN</t>
  </si>
  <si>
    <t>da:</t>
  </si>
  <si>
    <t>Termini TKK</t>
  </si>
  <si>
    <t>(*) Qty for a pair of bearing assemblies</t>
  </si>
  <si>
    <t>Domed</t>
  </si>
  <si>
    <t>Fire Prevention Accessories</t>
  </si>
  <si>
    <t>PURCH. OFF.</t>
  </si>
  <si>
    <t>Shafts</t>
  </si>
  <si>
    <t>Arrangement</t>
  </si>
  <si>
    <t>Mfg. Year</t>
  </si>
  <si>
    <t>Item</t>
  </si>
  <si>
    <t>Ball Joint Bracket Assembly</t>
  </si>
  <si>
    <t>Threaded Bar</t>
  </si>
  <si>
    <t>Arm</t>
  </si>
  <si>
    <t>Torque Arm</t>
  </si>
  <si>
    <t>Bolts</t>
  </si>
  <si>
    <t>Locking Device</t>
  </si>
  <si>
    <t>Conveying Troughs</t>
  </si>
  <si>
    <t>Conveying Chain</t>
  </si>
  <si>
    <t>Connector</t>
  </si>
  <si>
    <t>Insul. Class</t>
  </si>
  <si>
    <t>Customer</t>
  </si>
  <si>
    <t>Chain Assembly Code</t>
  </si>
  <si>
    <t>Machine Code</t>
  </si>
  <si>
    <t>Manufacturer's ID</t>
  </si>
  <si>
    <t>Driving Head</t>
  </si>
  <si>
    <t>Chain Drive</t>
  </si>
  <si>
    <t>Driving Conv. Sprocket</t>
  </si>
  <si>
    <t>Job</t>
  </si>
  <si>
    <t>Reaction Parts</t>
  </si>
  <si>
    <t>Internal Order Confirmation</t>
  </si>
  <si>
    <t>Torque Sensor</t>
  </si>
  <si>
    <t>Rotation Control</t>
  </si>
  <si>
    <t>Return Shaft Travel</t>
  </si>
  <si>
    <t>Counterplate</t>
  </si>
  <si>
    <t>Covers</t>
  </si>
  <si>
    <t>Cover</t>
  </si>
  <si>
    <t>Ring Gear</t>
  </si>
  <si>
    <t>Curved Conveying Sections</t>
  </si>
  <si>
    <t>Rolling Bearing</t>
  </si>
  <si>
    <t>Main Pin Dia.</t>
  </si>
  <si>
    <t>D(hole)</t>
  </si>
  <si>
    <t>D(hole) H8</t>
  </si>
  <si>
    <t>Nuts</t>
  </si>
  <si>
    <t>Nut</t>
  </si>
  <si>
    <t>Self-Locking Nut</t>
  </si>
  <si>
    <t>Date</t>
  </si>
  <si>
    <t>Issue Date</t>
  </si>
  <si>
    <t>General Data</t>
  </si>
  <si>
    <t>Machine Setiup</t>
  </si>
  <si>
    <t>BD Density</t>
  </si>
  <si>
    <t>Description</t>
  </si>
  <si>
    <t>MFG DIR.</t>
  </si>
  <si>
    <t>Signaling Disc</t>
  </si>
  <si>
    <t>Drawing</t>
  </si>
  <si>
    <t>Device</t>
  </si>
  <si>
    <t>Safety Device</t>
  </si>
  <si>
    <t>Spacer (Gearmotor)</t>
  </si>
  <si>
    <t>Spacer (Machine)</t>
  </si>
  <si>
    <t>Machine Specifications</t>
  </si>
  <si>
    <t>Recipient&gt;</t>
  </si>
  <si>
    <t>Record File</t>
  </si>
  <si>
    <t>Felt</t>
  </si>
  <si>
    <t>Side Panels</t>
  </si>
  <si>
    <t>Fasteners</t>
  </si>
  <si>
    <t>Gearmotor Fasteners</t>
  </si>
  <si>
    <t>SUPPLIER</t>
  </si>
  <si>
    <t>Cust. Supply</t>
  </si>
  <si>
    <t>Supplied by</t>
  </si>
  <si>
    <t>Supplied By&gt;</t>
  </si>
  <si>
    <t>Function</t>
  </si>
  <si>
    <t>Connection of Sections</t>
  </si>
  <si>
    <t>Degrees</t>
  </si>
  <si>
    <t>Grease</t>
  </si>
  <si>
    <t>Gaskets</t>
  </si>
  <si>
    <t>Guides</t>
  </si>
  <si>
    <t>H (Side Panel)</t>
  </si>
  <si>
    <t>Plant</t>
  </si>
  <si>
    <t>Slope</t>
  </si>
  <si>
    <t>Slope (H Type only)</t>
  </si>
  <si>
    <t>Lower</t>
  </si>
  <si>
    <t>Grease Nipples</t>
  </si>
  <si>
    <t>Wheelbase</t>
  </si>
  <si>
    <t>L Loading</t>
  </si>
  <si>
    <t>Guide Lgth</t>
  </si>
  <si>
    <t>Tot. Guide Lgth</t>
  </si>
  <si>
    <t>Width</t>
  </si>
  <si>
    <t>Inst. Side</t>
  </si>
  <si>
    <t>Keys</t>
  </si>
  <si>
    <t>Lubrication</t>
  </si>
  <si>
    <t>Length</t>
  </si>
  <si>
    <t>Excess Length</t>
  </si>
  <si>
    <t>Machine</t>
  </si>
  <si>
    <t>WAREHOUSE</t>
  </si>
  <si>
    <t>Chain Link</t>
  </si>
  <si>
    <t>Chain Links</t>
  </si>
  <si>
    <t>Material</t>
  </si>
  <si>
    <t>Conveyed Product</t>
  </si>
  <si>
    <t>Serial Number</t>
  </si>
  <si>
    <t>Size</t>
  </si>
  <si>
    <t>Springs</t>
  </si>
  <si>
    <t>Motorized</t>
  </si>
  <si>
    <t>Driving Unit</t>
  </si>
  <si>
    <t>Remarks</t>
  </si>
  <si>
    <t>WORKSHOP</t>
  </si>
  <si>
    <t>Subject</t>
  </si>
  <si>
    <t>Customer Order</t>
  </si>
  <si>
    <t>Clogging Detection Flap</t>
  </si>
  <si>
    <t>Bursting Panels</t>
  </si>
  <si>
    <t>Pitch</t>
  </si>
  <si>
    <t>Pin</t>
  </si>
  <si>
    <t>Pin (Machine)</t>
  </si>
  <si>
    <t>Pin (Gearmotor)</t>
  </si>
  <si>
    <t>Sprocket</t>
  </si>
  <si>
    <t>Ring Gear Hub</t>
  </si>
  <si>
    <t>Capacity</t>
  </si>
  <si>
    <t>Layout Pos.</t>
  </si>
  <si>
    <t>Guide section</t>
  </si>
  <si>
    <t>Qty</t>
  </si>
  <si>
    <t>Qty (g)</t>
  </si>
  <si>
    <t>Tot. Qty</t>
  </si>
  <si>
    <t>Bot. Radius</t>
  </si>
  <si>
    <t>Heater (V)</t>
  </si>
  <si>
    <t>Explosion Detection</t>
  </si>
  <si>
    <t>Clogging Detection</t>
  </si>
  <si>
    <t>Return Head</t>
  </si>
  <si>
    <t>Return Conv. Sprocket</t>
  </si>
  <si>
    <t>Safety Washer</t>
  </si>
  <si>
    <t>Spring Washer</t>
  </si>
  <si>
    <t>Plain Washer</t>
  </si>
  <si>
    <t>Hubs for Sectors</t>
  </si>
  <si>
    <t>Sensors</t>
  </si>
  <si>
    <t>Forced Cooling</t>
  </si>
  <si>
    <t>Toothed sectors</t>
  </si>
  <si>
    <t>Conveying Sections</t>
  </si>
  <si>
    <t>Sealant</t>
  </si>
  <si>
    <t>Bearing Assemblies</t>
  </si>
  <si>
    <t>Bearing Assembly</t>
  </si>
  <si>
    <t>Return Bearing</t>
  </si>
  <si>
    <t>Ship to Cust.</t>
  </si>
  <si>
    <t>Thickness (mm) / Materials</t>
  </si>
  <si>
    <t>Sprinklers</t>
  </si>
  <si>
    <t>Support Brackets</t>
  </si>
  <si>
    <t>Upper</t>
  </si>
  <si>
    <t>Dev. Length</t>
  </si>
  <si>
    <t>Ambient Temp.</t>
  </si>
  <si>
    <t>INSTALLER</t>
  </si>
  <si>
    <t>Frame</t>
  </si>
  <si>
    <t>Shaft Seals</t>
  </si>
  <si>
    <t>Ball Joint 1</t>
  </si>
  <si>
    <t>Ball Joint 2</t>
  </si>
  <si>
    <t>End Stations</t>
  </si>
  <si>
    <t>Type</t>
  </si>
  <si>
    <t>Type / Material</t>
  </si>
  <si>
    <t>Reaction Device Type</t>
  </si>
  <si>
    <t>Oil Type</t>
  </si>
  <si>
    <t>TECH. DEPT.</t>
  </si>
  <si>
    <t>Moisture</t>
  </si>
  <si>
    <t>Conv. Speed</t>
  </si>
  <si>
    <t>Sale</t>
  </si>
  <si>
    <t>Screw</t>
  </si>
  <si>
    <t>Screws</t>
  </si>
  <si>
    <t>W Loading</t>
  </si>
  <si>
    <t>M01</t>
  </si>
  <si>
    <t>Verificare la velocità di trasporto</t>
  </si>
  <si>
    <t>VERIFY CONVEYING SPEED</t>
  </si>
  <si>
    <t>M02</t>
  </si>
  <si>
    <t>CONFIGURAZIONE NON VALIDA</t>
  </si>
  <si>
    <t>INVALID CONFIGURATION</t>
  </si>
  <si>
    <t>M03</t>
  </si>
  <si>
    <t>TIPO MOTORIDUTTORE NON VALIDO</t>
  </si>
  <si>
    <t>INVALID GEARMOTOR TYPE</t>
  </si>
  <si>
    <t>M04</t>
  </si>
  <si>
    <t>CONFIGURAZIONE NON COERENTE</t>
  </si>
  <si>
    <t>M05</t>
  </si>
  <si>
    <t>DEFINIRE MATERIALE SPINE</t>
  </si>
  <si>
    <t>PLEASE DEFINE PLUGS' MATERIAL</t>
  </si>
  <si>
    <t>M06</t>
  </si>
  <si>
    <t>&lt; SELEZIONARE PER VISUALIZZARE LE NOTE</t>
  </si>
  <si>
    <t>&lt;PLEASE SELECT FOR REMARKS</t>
  </si>
  <si>
    <t>M07</t>
  </si>
  <si>
    <t>ANGOLO DI SCARICO NON OTTIMALE</t>
  </si>
  <si>
    <t>POOR DISCHARGE ANGLE</t>
  </si>
  <si>
    <t>M08</t>
  </si>
  <si>
    <t>DEFINIRE CURVA</t>
  </si>
  <si>
    <t>PLEASE DEFINE CURVED SECTION</t>
  </si>
  <si>
    <t>M09</t>
  </si>
  <si>
    <t>M10</t>
  </si>
  <si>
    <t>IL DISEGNO DEVE ESSERE GENERATO</t>
  </si>
  <si>
    <t>THE DRAWING MUST BE GENERATED</t>
  </si>
  <si>
    <t>M11</t>
  </si>
  <si>
    <t>Scegliere il tipo di barra filettata</t>
  </si>
  <si>
    <t>PLEASE CHOOSE THE THREADED BAR</t>
  </si>
  <si>
    <t>M12</t>
  </si>
  <si>
    <t>Scegliere il tipo di dispositivo</t>
  </si>
  <si>
    <t>PLEASE CHOOSE THE DEVICE</t>
  </si>
  <si>
    <t>M13</t>
  </si>
  <si>
    <t>DEFINIRE SENSORE</t>
  </si>
  <si>
    <t>PLEASE DEFINE THE SENSOR</t>
  </si>
  <si>
    <t>M14</t>
  </si>
  <si>
    <t>NUMERO DI TELAI NON COERENTE</t>
  </si>
  <si>
    <t>INVALID QUANTITY OF FRAMES</t>
  </si>
  <si>
    <t>A01</t>
  </si>
  <si>
    <t>Helical-Bevel Gearmotor</t>
  </si>
  <si>
    <t>A02</t>
  </si>
  <si>
    <t>Chain Drive V</t>
  </si>
  <si>
    <t>A03</t>
  </si>
  <si>
    <t>Chain Drive H</t>
  </si>
  <si>
    <t>B01</t>
  </si>
  <si>
    <t>B02</t>
  </si>
  <si>
    <t>WET CHIPS</t>
  </si>
  <si>
    <t>B03</t>
  </si>
  <si>
    <t>GLUED CHIPS</t>
  </si>
  <si>
    <t>B04</t>
  </si>
  <si>
    <t>RECYCLED CHIPS</t>
  </si>
  <si>
    <t>B05</t>
  </si>
  <si>
    <t>SAWDUST</t>
  </si>
  <si>
    <t>B06</t>
  </si>
  <si>
    <t>WOOD FIBER</t>
  </si>
  <si>
    <t>B07</t>
  </si>
  <si>
    <t>B08</t>
  </si>
  <si>
    <t>B09</t>
  </si>
  <si>
    <t>B10</t>
  </si>
  <si>
    <t>C01</t>
  </si>
  <si>
    <t>C02</t>
  </si>
  <si>
    <t>C03</t>
  </si>
  <si>
    <t>DX + SX</t>
  </si>
  <si>
    <t>D01</t>
  </si>
  <si>
    <t>YES</t>
  </si>
  <si>
    <t>D02</t>
  </si>
  <si>
    <t>Cliente</t>
  </si>
  <si>
    <t>F01</t>
  </si>
  <si>
    <t>F02</t>
  </si>
  <si>
    <t>FISSO</t>
  </si>
  <si>
    <t>FIXED</t>
  </si>
  <si>
    <t>VEDERE LE NOTE IN FONDO ALLA DISTINTA</t>
  </si>
  <si>
    <t>Document Revisions</t>
  </si>
  <si>
    <t>Config.</t>
  </si>
  <si>
    <t>Bot. Panel</t>
  </si>
  <si>
    <t>Cladding</t>
  </si>
  <si>
    <t>Standard Item</t>
  </si>
  <si>
    <t>Cartridge(s)</t>
  </si>
  <si>
    <t>TKK - Trasportatore a catena doppia</t>
  </si>
  <si>
    <t>TKK Chain Conveyor - Double Chain</t>
  </si>
  <si>
    <t>Locating Rings*</t>
  </si>
  <si>
    <t>Sprinkler Holders</t>
  </si>
  <si>
    <t>Sprinkler Plates</t>
  </si>
  <si>
    <t>M15</t>
  </si>
  <si>
    <t>M16</t>
  </si>
  <si>
    <t>ERRORE NEL NUMERO DI COMMESSA</t>
  </si>
  <si>
    <t>&gt;&gt;&gt; VAI ALLA SCHEDA ATEX</t>
  </si>
  <si>
    <t>INVALID JOB NUMBER</t>
  </si>
  <si>
    <t>&gt;&gt;&gt; GO TO SHEET 2</t>
  </si>
  <si>
    <t>VERIFICARE LA DEFINIZIONE</t>
  </si>
  <si>
    <t>CHECK TROUGH DEFINITION</t>
  </si>
  <si>
    <t>GLUED OSB</t>
  </si>
  <si>
    <t>DRY CHIPS</t>
  </si>
  <si>
    <t>inst_opt</t>
  </si>
  <si>
    <t>supply_opt</t>
  </si>
  <si>
    <t>react_opt</t>
  </si>
  <si>
    <t>CHECK THE REMARKS</t>
  </si>
  <si>
    <t>MINERAL</t>
  </si>
  <si>
    <t>SYNTHETIC</t>
  </si>
  <si>
    <t>TM Romania</t>
  </si>
  <si>
    <t>R + L</t>
  </si>
  <si>
    <t>MESSAGGI / WARNINGS</t>
  </si>
  <si>
    <t>Shear Pins</t>
  </si>
  <si>
    <t>G01</t>
  </si>
  <si>
    <t>G02</t>
  </si>
  <si>
    <t>G03</t>
  </si>
  <si>
    <t>G04</t>
  </si>
  <si>
    <t>G05</t>
  </si>
  <si>
    <t>G06</t>
  </si>
  <si>
    <t>G07</t>
  </si>
  <si>
    <t>G08</t>
  </si>
  <si>
    <t>G09</t>
  </si>
  <si>
    <t>G10</t>
  </si>
  <si>
    <t>G11</t>
  </si>
  <si>
    <t>G12</t>
  </si>
  <si>
    <t>Data Plate</t>
  </si>
  <si>
    <t>ATEX Marking</t>
  </si>
  <si>
    <t>Marking</t>
  </si>
  <si>
    <t>Internal Zone</t>
  </si>
  <si>
    <t>External Zone</t>
  </si>
  <si>
    <t>Limit Temp (°C)</t>
  </si>
  <si>
    <t>ATEX Rating</t>
  </si>
  <si>
    <t>Tag</t>
  </si>
  <si>
    <t>EAC Marking</t>
  </si>
  <si>
    <t>Plate</t>
  </si>
  <si>
    <t>Grounding</t>
  </si>
  <si>
    <t>Prepare the machine with grounding connections</t>
  </si>
  <si>
    <t>N01</t>
  </si>
  <si>
    <t>Installazione nella tramoggia di scarico</t>
  </si>
  <si>
    <t>Installed in the discharge hopper</t>
  </si>
  <si>
    <t>Sensori livello</t>
  </si>
  <si>
    <t>sns_liv</t>
  </si>
  <si>
    <t>PFG05XS-10</t>
  </si>
  <si>
    <t>livello</t>
  </si>
  <si>
    <t>Level sensor</t>
  </si>
  <si>
    <t>CONCATENA(CERCA.VERT(mod_base;macchina_dati;2;FALSO);".";SINISTRA(mod_base;2);".05.";cod_allestimento;".00.00")</t>
  </si>
  <si>
    <t>015.00.05.11.00.26</t>
  </si>
  <si>
    <t>015.00.05.10.00.26</t>
  </si>
  <si>
    <t>DIN 2093 - 100x51x6</t>
  </si>
  <si>
    <t>&gt;21&lt;</t>
  </si>
  <si>
    <t>2B</t>
  </si>
  <si>
    <t>BE0807C</t>
  </si>
  <si>
    <t>R007642</t>
  </si>
  <si>
    <t>Sobono Energy</t>
  </si>
  <si>
    <t>Energy plant - Fuel</t>
  </si>
  <si>
    <t>TMF02</t>
  </si>
  <si>
    <t>IT0012025TRT00044</t>
  </si>
  <si>
    <t>IT0012025COC00050</t>
  </si>
  <si>
    <t>T22007-BM-SGP-CSV</t>
  </si>
  <si>
    <t>II -/3 D Ex h IIIC T135°C -/Dc</t>
  </si>
  <si>
    <t>KH127EDRN180M4 /TF</t>
  </si>
  <si>
    <t>DV02041</t>
  </si>
  <si>
    <t>Pivoted</t>
  </si>
  <si>
    <t>XS630B1PAL2EX</t>
  </si>
  <si>
    <t>EVC27A</t>
  </si>
  <si>
    <t>MXD-SDT-ELM-K40</t>
  </si>
  <si>
    <t>SPECIAL BOTTOM FOR SLIDING GATE DRW. R007642-1; CONNECTION FLANGE DRW. R007642-A</t>
  </si>
  <si>
    <t>024.40.03.11.40.00</t>
  </si>
  <si>
    <t>024.40.04.11.35.00</t>
  </si>
  <si>
    <t>SPECIAL COVERJOINT DRW. DV47233 BETWEEN MODULE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</si>
</sst>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9" x14ac:knownFonts="1">
    <font>
      <sz val="8"/>
      <color theme="1"/>
      <name val="Tahoma"/>
      <family val="2"/>
    </font>
    <font>
      <b/>
      <sz val="8"/>
      <color theme="1"/>
      <name val="Tahoma"/>
      <family val="2"/>
    </font>
    <font>
      <b/>
      <sz val="16"/>
      <color theme="1"/>
      <name val="Tahoma"/>
      <family val="2"/>
    </font>
    <font>
      <sz val="16"/>
      <color theme="1"/>
      <name val="Tahoma"/>
      <family val="2"/>
    </font>
    <font>
      <b/>
      <sz val="10"/>
      <color theme="1"/>
      <name val="Tahoma"/>
      <family val="2"/>
    </font>
    <font>
      <sz val="10"/>
      <color theme="1"/>
      <name val="Tahoma"/>
      <family val="2"/>
    </font>
    <font>
      <i/>
      <sz val="8"/>
      <color theme="1"/>
      <name val="Tahoma"/>
      <family val="2"/>
    </font>
    <font>
      <b/>
      <sz val="12"/>
      <color rgb="FF000000"/>
      <name val="Arial Narrow"/>
      <family val="2"/>
    </font>
    <font>
      <sz val="8"/>
      <color rgb="FF000000"/>
      <name val="Arial Narrow"/>
      <family val="2"/>
    </font>
    <font>
      <b/>
      <sz val="12"/>
      <color theme="1"/>
      <name val="Arial Narrow"/>
      <family val="2"/>
    </font>
    <font>
      <sz val="8"/>
      <color theme="1"/>
      <name val="Arial Narrow"/>
      <family val="2"/>
    </font>
    <font>
      <sz val="14"/>
      <color theme="1"/>
      <name val="Tahoma"/>
      <family val="2"/>
    </font>
    <font>
      <sz val="8"/>
      <name val="Tahoma"/>
      <family val="2"/>
    </font>
    <font>
      <sz val="16"/>
      <color theme="1"/>
      <name val="Arial Narrow"/>
      <family val="2"/>
    </font>
    <font>
      <sz val="12"/>
      <color theme="1"/>
      <name val="Tahoma"/>
      <family val="2"/>
    </font>
    <font>
      <b/>
      <sz val="9"/>
      <color indexed="81"/>
      <name val="Tahoma"/>
      <family val="2"/>
    </font>
    <font>
      <b/>
      <sz val="8"/>
      <color indexed="81"/>
      <name val="Tahoma"/>
      <family val="2"/>
    </font>
    <font>
      <sz val="8"/>
      <color indexed="81"/>
      <name val="Tahoma"/>
      <family val="2"/>
    </font>
    <font>
      <i/>
      <sz val="8"/>
      <name val="Tahoma"/>
      <family val="2"/>
    </font>
    <font>
      <sz val="8"/>
      <color theme="0" tint="-0.249977111117893"/>
      <name val="Tahoma"/>
      <family val="2"/>
    </font>
    <font>
      <u/>
      <sz val="8"/>
      <color indexed="81"/>
      <name val="Tahoma"/>
      <family val="2"/>
    </font>
    <font>
      <sz val="36"/>
      <color theme="1"/>
      <name val="Tahoma"/>
      <family val="2"/>
    </font>
    <font>
      <sz val="9"/>
      <color indexed="81"/>
      <name val="Tahoma"/>
      <family val="2"/>
    </font>
    <font>
      <u/>
      <sz val="8"/>
      <color theme="10"/>
      <name val="Tahoma"/>
      <family val="2"/>
    </font>
    <font>
      <strike/>
      <sz val="8"/>
      <color theme="1"/>
      <name val="Tahoma"/>
      <family val="2"/>
    </font>
    <font>
      <b/>
      <sz val="16"/>
      <color theme="1"/>
      <name val="Arial Narrow"/>
      <family val="2"/>
    </font>
    <font>
      <b/>
      <sz val="8"/>
      <color theme="1"/>
      <name val="Arial Narrow"/>
      <family val="2"/>
    </font>
    <font>
      <sz val="7"/>
      <color theme="1"/>
      <name val="Arial Narrow"/>
      <family val="2"/>
    </font>
    <font>
      <b/>
      <sz val="8"/>
      <name val="Arial Narrow"/>
      <family val="2"/>
    </font>
    <font>
      <i/>
      <sz val="8"/>
      <color theme="1"/>
      <name val="Arial Narrow"/>
      <family val="2"/>
    </font>
    <font>
      <b/>
      <sz val="10"/>
      <color theme="1"/>
      <name val="Arial Narrow"/>
      <family val="2"/>
    </font>
    <font>
      <sz val="10"/>
      <color theme="1"/>
      <name val="Arial Narrow"/>
      <family val="2"/>
    </font>
    <font>
      <sz val="9"/>
      <color theme="1"/>
      <name val="Arial Narrow"/>
      <family val="2"/>
    </font>
    <font>
      <u/>
      <sz val="8"/>
      <color theme="1"/>
      <name val="Arial Narrow"/>
      <family val="2"/>
    </font>
    <font>
      <b/>
      <u/>
      <sz val="10"/>
      <color theme="1"/>
      <name val="Arial Narrow"/>
      <family val="2"/>
    </font>
    <font>
      <b/>
      <sz val="7"/>
      <color theme="1"/>
      <name val="Arial Narrow"/>
      <family val="2"/>
    </font>
    <font>
      <b/>
      <u/>
      <sz val="8"/>
      <color theme="1"/>
      <name val="Arial Narrow"/>
      <family val="2"/>
    </font>
    <font>
      <sz val="12"/>
      <color theme="1"/>
      <name val="Arial Narrow"/>
      <family val="2"/>
    </font>
    <font>
      <sz val="8"/>
      <name val="Arial Narrow"/>
      <family val="2"/>
    </font>
  </fonts>
  <fills count="13">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5"/>
        <bgColor indexed="64"/>
      </patternFill>
    </fill>
    <fill>
      <patternFill patternType="solid">
        <fgColor theme="7"/>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theme="9"/>
        <bgColor indexed="64"/>
      </patternFill>
    </fill>
  </fills>
  <borders count="21">
    <border>
      <left/>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Up="1">
      <left/>
      <right/>
      <top/>
      <bottom/>
      <diagonal style="thin">
        <color auto="1"/>
      </diagonal>
    </border>
    <border>
      <left style="hair">
        <color indexed="64"/>
      </left>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3">
    <xf numFmtId="0" fontId="0" fillId="0" borderId="0"/>
    <xf numFmtId="0" fontId="4" fillId="0" borderId="0">
      <alignment vertical="center"/>
    </xf>
    <xf numFmtId="0" fontId="23" fillId="0" borderId="0" applyNumberFormat="0" applyFill="0" applyBorder="0" applyAlignment="0" applyProtection="0"/>
  </cellStyleXfs>
  <cellXfs count="282">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right" vertical="center"/>
    </xf>
    <xf numFmtId="0" fontId="0" fillId="2" borderId="0" xfId="0" applyFill="1" applyAlignment="1">
      <alignment horizontal="center" vertical="center"/>
    </xf>
    <xf numFmtId="0" fontId="0" fillId="2" borderId="0" xfId="0" applyFill="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xf>
    <xf numFmtId="0" fontId="6" fillId="0" borderId="0" xfId="0" applyFont="1" applyAlignment="1">
      <alignment horizontal="center" vertical="center"/>
    </xf>
    <xf numFmtId="0" fontId="0" fillId="0" borderId="4" xfId="0" applyBorder="1" applyAlignment="1">
      <alignment horizontal="center" vertical="center"/>
    </xf>
    <xf numFmtId="0" fontId="1" fillId="0" borderId="0" xfId="0" applyFont="1" applyAlignment="1">
      <alignment vertical="center"/>
    </xf>
    <xf numFmtId="0" fontId="0" fillId="0" borderId="0" xfId="0" quotePrefix="1" applyAlignment="1">
      <alignment horizontal="center" vertical="center"/>
    </xf>
    <xf numFmtId="0" fontId="0" fillId="6" borderId="0" xfId="0" applyFill="1" applyAlignment="1">
      <alignment vertical="center"/>
    </xf>
    <xf numFmtId="0" fontId="0" fillId="6" borderId="0" xfId="0" applyFill="1" applyAlignment="1">
      <alignment horizontal="center" vertical="center"/>
    </xf>
    <xf numFmtId="0" fontId="0" fillId="6" borderId="0" xfId="0" applyFill="1" applyAlignment="1">
      <alignment horizontal="right" vertical="center"/>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7" fillId="0" borderId="2" xfId="0" applyFont="1" applyBorder="1" applyAlignment="1" applyProtection="1">
      <alignment horizontal="center" vertical="center"/>
      <protection locked="0"/>
    </xf>
    <xf numFmtId="0" fontId="7" fillId="0" borderId="2" xfId="0" applyFont="1" applyBorder="1" applyAlignment="1">
      <alignment horizontal="center" vertical="center"/>
    </xf>
    <xf numFmtId="0" fontId="10" fillId="0" borderId="0" xfId="0" applyFont="1" applyAlignment="1">
      <alignment vertical="center"/>
    </xf>
    <xf numFmtId="0" fontId="0" fillId="7" borderId="9" xfId="0" applyFill="1" applyBorder="1" applyAlignment="1">
      <alignment vertical="center"/>
    </xf>
    <xf numFmtId="0" fontId="0" fillId="7" borderId="3" xfId="0" applyFill="1" applyBorder="1" applyAlignment="1">
      <alignment vertical="center"/>
    </xf>
    <xf numFmtId="0" fontId="0" fillId="7" borderId="10" xfId="0" applyFill="1" applyBorder="1" applyAlignment="1">
      <alignment vertical="center"/>
    </xf>
    <xf numFmtId="0" fontId="0" fillId="7" borderId="8" xfId="0" applyFill="1" applyBorder="1" applyAlignment="1">
      <alignment vertical="center"/>
    </xf>
    <xf numFmtId="0" fontId="0" fillId="7" borderId="0" xfId="0" applyFill="1" applyAlignment="1">
      <alignment vertical="center"/>
    </xf>
    <xf numFmtId="0" fontId="0" fillId="7" borderId="11" xfId="0" applyFill="1" applyBorder="1" applyAlignment="1">
      <alignment vertical="center"/>
    </xf>
    <xf numFmtId="0" fontId="12" fillId="0" borderId="0" xfId="0" applyFont="1" applyAlignment="1">
      <alignment vertical="center"/>
    </xf>
    <xf numFmtId="0" fontId="9" fillId="7" borderId="0" xfId="0" applyFont="1" applyFill="1" applyAlignment="1">
      <alignment horizontal="right" vertical="center"/>
    </xf>
    <xf numFmtId="0" fontId="11" fillId="7" borderId="0" xfId="0" applyFont="1" applyFill="1" applyAlignment="1">
      <alignment vertical="center"/>
    </xf>
    <xf numFmtId="0" fontId="13" fillId="8" borderId="4" xfId="0" applyFont="1" applyFill="1" applyBorder="1" applyAlignment="1">
      <alignment horizontal="center" vertical="center"/>
    </xf>
    <xf numFmtId="0" fontId="0" fillId="7" borderId="12" xfId="0" applyFill="1" applyBorder="1" applyAlignment="1">
      <alignment vertical="center"/>
    </xf>
    <xf numFmtId="0" fontId="0" fillId="7" borderId="1" xfId="0" applyFill="1" applyBorder="1" applyAlignment="1">
      <alignment vertical="center"/>
    </xf>
    <xf numFmtId="0" fontId="0" fillId="7" borderId="13" xfId="0" applyFill="1" applyBorder="1" applyAlignment="1">
      <alignment vertical="center"/>
    </xf>
    <xf numFmtId="0" fontId="0" fillId="5" borderId="0" xfId="0" applyFill="1" applyAlignment="1">
      <alignment horizontal="center" vertical="center"/>
    </xf>
    <xf numFmtId="165" fontId="0" fillId="0" borderId="1" xfId="0" applyNumberFormat="1" applyBorder="1" applyAlignment="1">
      <alignment horizontal="center" vertical="center"/>
    </xf>
    <xf numFmtId="0" fontId="18" fillId="0" borderId="0" xfId="0" applyFont="1" applyAlignment="1">
      <alignment vertical="center"/>
    </xf>
    <xf numFmtId="0" fontId="19" fillId="0" borderId="0" xfId="0" applyFont="1" applyAlignment="1">
      <alignment horizontal="center" vertical="center"/>
    </xf>
    <xf numFmtId="0" fontId="12" fillId="0" borderId="0" xfId="0" applyFont="1" applyAlignment="1">
      <alignment horizontal="center" vertical="center"/>
    </xf>
    <xf numFmtId="0" fontId="6" fillId="6" borderId="0" xfId="0" applyFont="1" applyFill="1" applyAlignment="1">
      <alignment horizontal="center" vertical="center"/>
    </xf>
    <xf numFmtId="0" fontId="6" fillId="0" borderId="0" xfId="0" applyFont="1" applyAlignment="1">
      <alignment vertical="center"/>
    </xf>
    <xf numFmtId="0" fontId="12" fillId="0" borderId="1" xfId="0" applyFont="1" applyBorder="1" applyAlignment="1">
      <alignment horizontal="center" vertical="center"/>
    </xf>
    <xf numFmtId="0" fontId="0" fillId="3" borderId="0" xfId="0" applyFill="1" applyAlignment="1">
      <alignment horizontal="center" vertical="center"/>
    </xf>
    <xf numFmtId="0" fontId="12" fillId="3" borderId="0" xfId="0" applyFont="1" applyFill="1" applyAlignment="1">
      <alignment horizontal="center" vertical="center"/>
    </xf>
    <xf numFmtId="0" fontId="12" fillId="6" borderId="0" xfId="0" applyFont="1" applyFill="1" applyAlignment="1">
      <alignment vertical="center"/>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0" fillId="0" borderId="15" xfId="0" applyBorder="1" applyAlignment="1">
      <alignment horizontal="center" vertical="center"/>
    </xf>
    <xf numFmtId="0" fontId="0" fillId="7" borderId="1" xfId="0" applyFill="1" applyBorder="1" applyAlignment="1">
      <alignment horizontal="center" vertical="center"/>
    </xf>
    <xf numFmtId="0" fontId="0" fillId="0" borderId="17" xfId="0" applyBorder="1" applyAlignment="1">
      <alignment vertical="center"/>
    </xf>
    <xf numFmtId="0" fontId="1" fillId="2" borderId="0" xfId="0" applyFont="1" applyFill="1" applyAlignment="1">
      <alignment vertical="center"/>
    </xf>
    <xf numFmtId="0" fontId="9" fillId="0" borderId="2" xfId="0" applyFont="1" applyBorder="1" applyAlignment="1" applyProtection="1">
      <alignment horizontal="center" vertical="center"/>
      <protection locked="0"/>
    </xf>
    <xf numFmtId="0" fontId="1" fillId="0" borderId="0" xfId="0" applyFont="1" applyAlignment="1">
      <alignment horizontal="right" vertical="center"/>
    </xf>
    <xf numFmtId="0" fontId="0" fillId="7" borderId="0" xfId="0" applyFill="1" applyAlignment="1">
      <alignment horizontal="center" vertical="center"/>
    </xf>
    <xf numFmtId="0" fontId="6" fillId="7" borderId="0" xfId="0" applyFont="1" applyFill="1" applyAlignment="1">
      <alignment vertical="center"/>
    </xf>
    <xf numFmtId="0" fontId="0" fillId="0" borderId="14" xfId="0" applyBorder="1" applyAlignment="1">
      <alignment horizontal="center" vertical="center"/>
    </xf>
    <xf numFmtId="0" fontId="1" fillId="0" borderId="1" xfId="0" applyFont="1" applyBorder="1" applyAlignment="1">
      <alignment horizontal="center" vertical="center"/>
    </xf>
    <xf numFmtId="0" fontId="14" fillId="0" borderId="0" xfId="0" applyFont="1" applyAlignment="1">
      <alignment vertical="center"/>
    </xf>
    <xf numFmtId="0" fontId="0" fillId="10" borderId="0" xfId="0" applyFill="1" applyAlignment="1">
      <alignment horizontal="center" vertical="center"/>
    </xf>
    <xf numFmtId="0" fontId="1" fillId="10" borderId="0" xfId="0" applyFont="1" applyFill="1" applyAlignment="1">
      <alignment horizontal="center" vertical="center"/>
    </xf>
    <xf numFmtId="0" fontId="0" fillId="10" borderId="0" xfId="0" applyFill="1" applyAlignment="1">
      <alignment vertical="center"/>
    </xf>
    <xf numFmtId="0" fontId="5" fillId="0" borderId="0" xfId="0" applyFont="1" applyAlignment="1">
      <alignment vertical="center"/>
    </xf>
    <xf numFmtId="0" fontId="1" fillId="6" borderId="0" xfId="0" applyFont="1" applyFill="1" applyAlignment="1">
      <alignment horizontal="center" vertical="center"/>
    </xf>
    <xf numFmtId="0" fontId="19" fillId="6" borderId="0" xfId="0" applyFont="1" applyFill="1" applyAlignment="1">
      <alignment horizontal="center" vertical="center"/>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165" fontId="0" fillId="0" borderId="0" xfId="0" applyNumberFormat="1" applyAlignment="1">
      <alignment horizontal="center" vertical="center"/>
    </xf>
    <xf numFmtId="0" fontId="1" fillId="6" borderId="0" xfId="0" applyFont="1" applyFill="1" applyAlignment="1">
      <alignment vertical="center"/>
    </xf>
    <xf numFmtId="0" fontId="6" fillId="0" borderId="0" xfId="0" applyFont="1" applyAlignment="1">
      <alignment horizontal="right" vertical="center"/>
    </xf>
    <xf numFmtId="0" fontId="12" fillId="7" borderId="0" xfId="0" applyFont="1" applyFill="1" applyAlignment="1">
      <alignment horizontal="center" vertical="center"/>
    </xf>
    <xf numFmtId="0" fontId="19" fillId="7" borderId="0" xfId="0" applyFont="1" applyFill="1" applyAlignment="1">
      <alignment horizontal="center" vertical="center"/>
    </xf>
    <xf numFmtId="0" fontId="10" fillId="0" borderId="4" xfId="0" applyFont="1" applyBorder="1" applyAlignment="1" applyProtection="1">
      <alignment horizontal="center" vertical="center"/>
      <protection locked="0"/>
    </xf>
    <xf numFmtId="0" fontId="10" fillId="0" borderId="4" xfId="0" applyFont="1" applyBorder="1" applyAlignment="1">
      <alignment horizontal="center" vertical="center"/>
    </xf>
    <xf numFmtId="0" fontId="0" fillId="7" borderId="0" xfId="0" applyFill="1" applyAlignment="1">
      <alignment horizontal="right" vertical="center"/>
    </xf>
    <xf numFmtId="0" fontId="0" fillId="6" borderId="0" xfId="0" applyFill="1"/>
    <xf numFmtId="0" fontId="0" fillId="3" borderId="0" xfId="0" applyFill="1" applyAlignment="1">
      <alignment vertical="center"/>
    </xf>
    <xf numFmtId="0" fontId="0" fillId="11" borderId="0" xfId="0" applyFill="1" applyAlignment="1">
      <alignment horizontal="center" vertical="center"/>
    </xf>
    <xf numFmtId="0" fontId="0" fillId="4" borderId="0" xfId="0" applyFill="1" applyAlignment="1">
      <alignment horizontal="center" vertical="center"/>
    </xf>
    <xf numFmtId="0" fontId="0" fillId="4" borderId="0" xfId="0" applyFill="1" applyAlignment="1">
      <alignment vertical="center"/>
    </xf>
    <xf numFmtId="0" fontId="0" fillId="12" borderId="0" xfId="0" applyFill="1" applyAlignment="1">
      <alignment vertical="center"/>
    </xf>
    <xf numFmtId="0" fontId="24" fillId="5" borderId="0" xfId="0" applyFont="1" applyFill="1" applyAlignment="1">
      <alignment horizontal="center" vertical="center"/>
    </xf>
    <xf numFmtId="0" fontId="24" fillId="0" borderId="0" xfId="0" applyFont="1" applyAlignment="1">
      <alignment horizontal="center" vertical="center"/>
    </xf>
    <xf numFmtId="0" fontId="24" fillId="0" borderId="0" xfId="0" applyFont="1" applyAlignment="1">
      <alignment vertical="center"/>
    </xf>
    <xf numFmtId="0" fontId="26" fillId="0" borderId="0" xfId="0" applyFont="1" applyAlignment="1">
      <alignment horizontal="center" vertical="center"/>
    </xf>
    <xf numFmtId="0" fontId="27" fillId="0" borderId="0" xfId="0" applyFont="1" applyAlignment="1">
      <alignment horizontal="center"/>
    </xf>
    <xf numFmtId="0" fontId="10" fillId="0" borderId="0" xfId="0" applyFont="1" applyAlignment="1">
      <alignment horizontal="center"/>
    </xf>
    <xf numFmtId="0" fontId="10" fillId="0" borderId="1" xfId="0" applyFont="1" applyBorder="1" applyAlignment="1">
      <alignment horizontal="center"/>
    </xf>
    <xf numFmtId="0" fontId="10" fillId="0" borderId="0" xfId="0" applyFont="1" applyAlignment="1">
      <alignment horizontal="center" vertical="center"/>
    </xf>
    <xf numFmtId="0" fontId="10" fillId="0" borderId="0" xfId="0" applyFont="1"/>
    <xf numFmtId="0" fontId="10" fillId="0" borderId="0" xfId="0" applyFont="1" applyAlignment="1">
      <alignment horizontal="left" vertical="center"/>
    </xf>
    <xf numFmtId="0" fontId="10" fillId="0" borderId="0" xfId="0" applyFont="1" applyAlignment="1">
      <alignment horizontal="right" vertical="center"/>
    </xf>
    <xf numFmtId="0" fontId="10" fillId="2" borderId="0" xfId="0" applyFont="1" applyFill="1" applyAlignment="1">
      <alignment horizontal="center" vertical="center"/>
    </xf>
    <xf numFmtId="164" fontId="10" fillId="2" borderId="2" xfId="0" applyNumberFormat="1" applyFont="1" applyFill="1" applyBorder="1" applyAlignment="1">
      <alignment horizontal="center" vertical="center"/>
    </xf>
    <xf numFmtId="14" fontId="10" fillId="2" borderId="18" xfId="0" applyNumberFormat="1" applyFont="1" applyFill="1" applyBorder="1" applyAlignment="1">
      <alignment horizontal="center" vertical="center"/>
    </xf>
    <xf numFmtId="14" fontId="10" fillId="2" borderId="0" xfId="0" applyNumberFormat="1" applyFont="1" applyFill="1" applyAlignment="1">
      <alignment vertical="center"/>
    </xf>
    <xf numFmtId="14" fontId="10" fillId="2" borderId="0" xfId="0" applyNumberFormat="1" applyFont="1" applyFill="1" applyAlignment="1">
      <alignment horizontal="center" vertical="center"/>
    </xf>
    <xf numFmtId="14" fontId="10" fillId="2" borderId="0" xfId="0" applyNumberFormat="1" applyFont="1" applyFill="1" applyAlignment="1">
      <alignment horizontal="left" vertical="center"/>
    </xf>
    <xf numFmtId="0" fontId="10" fillId="2" borderId="0" xfId="0" applyFont="1" applyFill="1" applyAlignment="1">
      <alignment vertical="center"/>
    </xf>
    <xf numFmtId="0" fontId="10" fillId="9" borderId="0" xfId="0" applyFont="1" applyFill="1" applyAlignment="1">
      <alignment horizontal="center" vertical="center"/>
    </xf>
    <xf numFmtId="0" fontId="27" fillId="0" borderId="0" xfId="0" applyFont="1" applyAlignment="1">
      <alignment horizontal="center" vertical="center"/>
    </xf>
    <xf numFmtId="0" fontId="26" fillId="0" borderId="3" xfId="0" applyFont="1" applyBorder="1" applyAlignment="1">
      <alignment horizontal="center" vertical="center"/>
    </xf>
    <xf numFmtId="164" fontId="26" fillId="0" borderId="0" xfId="0" applyNumberFormat="1" applyFont="1" applyAlignment="1">
      <alignment horizontal="center" vertical="center"/>
    </xf>
    <xf numFmtId="0" fontId="10" fillId="0" borderId="1" xfId="0" applyFont="1" applyBorder="1" applyAlignment="1">
      <alignment horizontal="center" vertical="center"/>
    </xf>
    <xf numFmtId="14" fontId="10" fillId="0" borderId="1" xfId="0" applyNumberFormat="1" applyFont="1" applyBorder="1" applyAlignment="1">
      <alignment horizontal="center" vertical="center"/>
    </xf>
    <xf numFmtId="0" fontId="10" fillId="0" borderId="1" xfId="0" applyFont="1" applyBorder="1" applyAlignment="1">
      <alignment vertical="center"/>
    </xf>
    <xf numFmtId="0" fontId="25" fillId="0" borderId="0" xfId="0" applyFont="1" applyAlignment="1">
      <alignment vertical="center"/>
    </xf>
    <xf numFmtId="0" fontId="13" fillId="0" borderId="0" xfId="0" applyFont="1" applyAlignment="1">
      <alignment vertical="center"/>
    </xf>
    <xf numFmtId="0" fontId="10" fillId="0" borderId="2" xfId="0" applyFont="1" applyBorder="1" applyAlignment="1" applyProtection="1">
      <alignment horizontal="center" vertical="center"/>
      <protection locked="0"/>
    </xf>
    <xf numFmtId="0" fontId="29" fillId="0" borderId="0" xfId="0" applyFont="1" applyAlignment="1">
      <alignment vertical="center"/>
    </xf>
    <xf numFmtId="0" fontId="10" fillId="3" borderId="2" xfId="0" applyFont="1" applyFill="1" applyBorder="1" applyAlignment="1">
      <alignment horizontal="center" vertical="center"/>
    </xf>
    <xf numFmtId="0" fontId="10" fillId="4" borderId="2" xfId="0" applyFont="1" applyFill="1" applyBorder="1" applyAlignment="1">
      <alignment horizontal="center" vertical="center"/>
    </xf>
    <xf numFmtId="0" fontId="10" fillId="5"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7" borderId="0" xfId="0" applyFont="1" applyFill="1" applyAlignment="1">
      <alignment vertical="center"/>
    </xf>
    <xf numFmtId="0" fontId="10" fillId="6" borderId="0" xfId="0" applyFont="1" applyFill="1" applyAlignment="1">
      <alignment horizontal="center" vertical="center"/>
    </xf>
    <xf numFmtId="0" fontId="10" fillId="6" borderId="0" xfId="0" applyFont="1" applyFill="1" applyAlignment="1">
      <alignment vertical="center"/>
    </xf>
    <xf numFmtId="0" fontId="10" fillId="4" borderId="0" xfId="0" applyFont="1" applyFill="1" applyAlignment="1">
      <alignment horizontal="center" vertical="center"/>
    </xf>
    <xf numFmtId="0" fontId="30" fillId="0" borderId="0" xfId="1" applyFont="1">
      <alignment vertical="center"/>
    </xf>
    <xf numFmtId="0" fontId="31" fillId="0" borderId="4" xfId="0" applyFont="1" applyBorder="1" applyAlignment="1" applyProtection="1">
      <alignment horizontal="center" vertical="center"/>
      <protection locked="0"/>
    </xf>
    <xf numFmtId="0" fontId="31" fillId="0" borderId="4" xfId="0" applyFont="1" applyBorder="1" applyAlignment="1">
      <alignment horizontal="center" vertical="center"/>
    </xf>
    <xf numFmtId="0" fontId="26" fillId="7" borderId="0" xfId="0" applyFont="1" applyFill="1" applyAlignment="1">
      <alignment vertical="center"/>
    </xf>
    <xf numFmtId="0" fontId="31" fillId="0" borderId="0" xfId="0" applyFont="1" applyAlignment="1">
      <alignment horizontal="center" vertical="center"/>
    </xf>
    <xf numFmtId="0" fontId="32" fillId="0" borderId="0" xfId="0" applyFont="1" applyAlignment="1">
      <alignment horizontal="center" vertical="center"/>
    </xf>
    <xf numFmtId="14" fontId="10" fillId="0" borderId="4" xfId="0" applyNumberFormat="1"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10" fillId="0" borderId="7" xfId="0" applyFont="1" applyBorder="1" applyAlignment="1">
      <alignment horizontal="center" vertical="center"/>
    </xf>
    <xf numFmtId="164" fontId="10" fillId="0" borderId="0" xfId="0" applyNumberFormat="1" applyFont="1" applyAlignment="1">
      <alignment horizontal="center" vertical="center"/>
    </xf>
    <xf numFmtId="14" fontId="31" fillId="0" borderId="4" xfId="0" applyNumberFormat="1" applyFont="1" applyBorder="1" applyAlignment="1" applyProtection="1">
      <alignment horizontal="center" vertical="center"/>
      <protection locked="0"/>
    </xf>
    <xf numFmtId="14" fontId="10" fillId="0" borderId="0" xfId="0" applyNumberFormat="1" applyFont="1" applyAlignment="1">
      <alignment horizontal="center" vertical="center"/>
    </xf>
    <xf numFmtId="164" fontId="26" fillId="0" borderId="4" xfId="0" applyNumberFormat="1" applyFont="1" applyBorder="1" applyAlignment="1">
      <alignment horizontal="center" vertical="center"/>
    </xf>
    <xf numFmtId="0" fontId="29" fillId="0" borderId="0" xfId="0" applyFont="1" applyAlignment="1">
      <alignment horizontal="center" vertical="center"/>
    </xf>
    <xf numFmtId="0" fontId="10" fillId="0" borderId="6" xfId="0" applyFont="1" applyBorder="1" applyAlignment="1" applyProtection="1">
      <alignment horizontal="center" vertical="center"/>
      <protection locked="0"/>
    </xf>
    <xf numFmtId="1" fontId="10" fillId="0" borderId="4" xfId="0" applyNumberFormat="1" applyFont="1" applyBorder="1" applyAlignment="1">
      <alignment horizontal="center" vertical="center"/>
    </xf>
    <xf numFmtId="2" fontId="10" fillId="0" borderId="4" xfId="0" applyNumberFormat="1" applyFont="1" applyBorder="1" applyAlignment="1">
      <alignment horizontal="center" vertical="center"/>
    </xf>
    <xf numFmtId="0" fontId="10" fillId="4" borderId="17" xfId="0" applyFont="1" applyFill="1" applyBorder="1" applyAlignment="1">
      <alignment horizontal="center" vertical="center"/>
    </xf>
    <xf numFmtId="0" fontId="10" fillId="11" borderId="4" xfId="0" applyFont="1" applyFill="1" applyBorder="1" applyAlignment="1">
      <alignment horizontal="center" vertical="center"/>
    </xf>
    <xf numFmtId="0" fontId="26" fillId="0" borderId="4" xfId="0" applyFont="1" applyBorder="1" applyAlignment="1">
      <alignment horizontal="center" vertical="center"/>
    </xf>
    <xf numFmtId="0" fontId="30" fillId="0" borderId="0" xfId="0" applyFont="1" applyAlignment="1">
      <alignment horizontal="center" vertical="center"/>
    </xf>
    <xf numFmtId="0" fontId="30" fillId="0" borderId="0" xfId="0" applyFont="1" applyAlignment="1">
      <alignment vertical="center"/>
    </xf>
    <xf numFmtId="0" fontId="26" fillId="0" borderId="0" xfId="0" applyFont="1" applyAlignment="1" applyProtection="1">
      <alignment horizontal="center" vertical="center"/>
      <protection locked="0"/>
    </xf>
    <xf numFmtId="1" fontId="10" fillId="0" borderId="4" xfId="0" applyNumberFormat="1" applyFont="1" applyBorder="1" applyAlignment="1" applyProtection="1">
      <alignment horizontal="center" vertical="center"/>
      <protection locked="0"/>
    </xf>
    <xf numFmtId="0" fontId="33" fillId="0" borderId="0" xfId="0" applyFont="1" applyAlignment="1">
      <alignment vertical="center"/>
    </xf>
    <xf numFmtId="0" fontId="34" fillId="0" borderId="0" xfId="1" applyFont="1">
      <alignment vertical="center"/>
    </xf>
    <xf numFmtId="0" fontId="10" fillId="0" borderId="3" xfId="0" applyFont="1" applyBorder="1" applyAlignment="1">
      <alignment horizontal="center" vertical="center"/>
    </xf>
    <xf numFmtId="0" fontId="35" fillId="0" borderId="4" xfId="0" applyFont="1" applyBorder="1" applyAlignment="1">
      <alignment horizontal="center" vertical="center"/>
    </xf>
    <xf numFmtId="0" fontId="26" fillId="0" borderId="0" xfId="0" applyFont="1" applyAlignment="1">
      <alignment vertical="center"/>
    </xf>
    <xf numFmtId="0" fontId="10" fillId="0" borderId="6" xfId="0" applyFont="1" applyBorder="1" applyAlignment="1">
      <alignment horizontal="center" vertical="center"/>
    </xf>
    <xf numFmtId="0" fontId="10" fillId="0" borderId="4" xfId="0" quotePrefix="1" applyFont="1" applyBorder="1" applyAlignment="1">
      <alignment horizontal="center" vertical="center"/>
    </xf>
    <xf numFmtId="0" fontId="10" fillId="0" borderId="0" xfId="0" quotePrefix="1" applyFont="1" applyAlignment="1">
      <alignment horizontal="center" vertical="center"/>
    </xf>
    <xf numFmtId="0" fontId="10" fillId="0" borderId="5" xfId="0" applyFont="1" applyBorder="1" applyAlignment="1">
      <alignment horizontal="center" vertical="center"/>
    </xf>
    <xf numFmtId="0" fontId="10" fillId="0" borderId="4" xfId="0" quotePrefix="1" applyFont="1" applyBorder="1" applyAlignment="1" applyProtection="1">
      <alignment horizontal="center" vertical="center"/>
      <protection locked="0"/>
    </xf>
    <xf numFmtId="49" fontId="10" fillId="0" borderId="4" xfId="0" applyNumberFormat="1" applyFont="1" applyBorder="1" applyAlignment="1">
      <alignment horizontal="center" vertical="center"/>
    </xf>
    <xf numFmtId="0" fontId="36" fillId="0" borderId="0" xfId="0" applyFont="1" applyAlignment="1">
      <alignment vertical="center"/>
    </xf>
    <xf numFmtId="0" fontId="10" fillId="3" borderId="0" xfId="0" applyFont="1" applyFill="1" applyAlignment="1">
      <alignment horizontal="center" vertical="center"/>
    </xf>
    <xf numFmtId="1" fontId="10" fillId="3" borderId="0" xfId="0" applyNumberFormat="1" applyFont="1" applyFill="1" applyAlignment="1">
      <alignment vertical="center"/>
    </xf>
    <xf numFmtId="0" fontId="10" fillId="0" borderId="15" xfId="0" applyFont="1" applyBorder="1" applyAlignment="1">
      <alignment horizontal="center" vertical="center"/>
    </xf>
    <xf numFmtId="0" fontId="10" fillId="3" borderId="0" xfId="0" applyFont="1" applyFill="1" applyAlignment="1">
      <alignment vertical="center"/>
    </xf>
    <xf numFmtId="0" fontId="10" fillId="0" borderId="0" xfId="0" applyFont="1" applyAlignment="1">
      <alignment vertical="center" wrapText="1"/>
    </xf>
    <xf numFmtId="0" fontId="10" fillId="0" borderId="8" xfId="0" applyFont="1" applyBorder="1" applyAlignment="1">
      <alignment horizontal="center" vertical="center"/>
    </xf>
    <xf numFmtId="0" fontId="10" fillId="6" borderId="0" xfId="0" quotePrefix="1" applyFont="1" applyFill="1" applyAlignment="1">
      <alignment horizontal="center" vertical="center"/>
    </xf>
    <xf numFmtId="1" fontId="10" fillId="0" borderId="0" xfId="0" applyNumberFormat="1" applyFont="1" applyAlignment="1">
      <alignment vertical="center"/>
    </xf>
    <xf numFmtId="1" fontId="10" fillId="0" borderId="0" xfId="0" applyNumberFormat="1" applyFont="1" applyAlignment="1">
      <alignment horizontal="center" vertical="center"/>
    </xf>
    <xf numFmtId="0" fontId="31" fillId="0" borderId="0" xfId="0" applyFont="1" applyAlignment="1">
      <alignment vertical="center"/>
    </xf>
    <xf numFmtId="1" fontId="26" fillId="3" borderId="0" xfId="0" applyNumberFormat="1" applyFont="1" applyFill="1" applyAlignment="1">
      <alignment vertical="center"/>
    </xf>
    <xf numFmtId="1" fontId="26" fillId="0" borderId="0" xfId="0" applyNumberFormat="1" applyFont="1" applyAlignment="1">
      <alignment vertical="center"/>
    </xf>
    <xf numFmtId="0" fontId="36" fillId="0" borderId="0" xfId="1" applyFont="1">
      <alignment vertical="center"/>
    </xf>
    <xf numFmtId="0" fontId="26" fillId="0" borderId="4" xfId="0" applyFont="1" applyBorder="1" applyAlignment="1" applyProtection="1">
      <alignment horizontal="center" vertical="center"/>
      <protection locked="0"/>
    </xf>
    <xf numFmtId="0" fontId="26" fillId="0" borderId="0" xfId="1" applyFont="1">
      <alignment vertical="center"/>
    </xf>
    <xf numFmtId="0" fontId="27" fillId="0" borderId="0" xfId="0" applyFont="1" applyAlignment="1">
      <alignment vertical="center"/>
    </xf>
    <xf numFmtId="0" fontId="38" fillId="0" borderId="4" xfId="0" applyFont="1" applyBorder="1" applyAlignment="1" applyProtection="1">
      <alignment horizontal="center" vertical="center"/>
      <protection locked="0"/>
    </xf>
    <xf numFmtId="0" fontId="10" fillId="0" borderId="0" xfId="0" applyFont="1" applyAlignment="1" applyProtection="1">
      <alignment vertical="top" wrapText="1"/>
      <protection locked="0"/>
    </xf>
    <xf numFmtId="0" fontId="10" fillId="0" borderId="3"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4" xfId="1" applyFont="1" applyBorder="1" applyAlignment="1">
      <alignment horizontal="center" vertical="center"/>
    </xf>
    <xf numFmtId="0" fontId="31" fillId="0" borderId="0" xfId="1" applyFont="1">
      <alignment vertical="center"/>
    </xf>
    <xf numFmtId="0" fontId="25" fillId="0" borderId="4" xfId="0" applyFont="1" applyBorder="1" applyAlignment="1" applyProtection="1">
      <alignment horizontal="center" vertical="center"/>
      <protection locked="0"/>
    </xf>
    <xf numFmtId="0" fontId="10" fillId="11" borderId="0" xfId="0" applyFont="1" applyFill="1" applyAlignment="1">
      <alignment horizontal="center" vertical="center"/>
    </xf>
    <xf numFmtId="0" fontId="10" fillId="11" borderId="0" xfId="0" applyFont="1" applyFill="1" applyAlignment="1">
      <alignment vertical="center"/>
    </xf>
    <xf numFmtId="0" fontId="0" fillId="6" borderId="1" xfId="0" applyFill="1" applyBorder="1" applyAlignment="1">
      <alignment horizontal="center" vertical="center"/>
    </xf>
    <xf numFmtId="0" fontId="29" fillId="0" borderId="0" xfId="0" applyFont="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0" xfId="0" applyFont="1" applyAlignment="1">
      <alignment horizontal="center" vertical="center"/>
    </xf>
    <xf numFmtId="0" fontId="10" fillId="0" borderId="4" xfId="0" applyFont="1" applyBorder="1" applyAlignment="1">
      <alignment vertical="center"/>
    </xf>
    <xf numFmtId="0" fontId="10" fillId="0" borderId="16"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vertical="center"/>
    </xf>
    <xf numFmtId="0" fontId="10" fillId="0" borderId="7" xfId="0" applyFont="1" applyBorder="1" applyAlignment="1">
      <alignment horizontal="center" vertical="center"/>
    </xf>
    <xf numFmtId="0" fontId="10" fillId="0" borderId="5"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4" xfId="0" applyFont="1" applyBorder="1" applyAlignment="1">
      <alignment horizontal="center" vertical="center"/>
    </xf>
    <xf numFmtId="0" fontId="10" fillId="0" borderId="4" xfId="0" applyFont="1" applyBorder="1" applyAlignment="1" applyProtection="1">
      <alignment horizontal="center" vertical="center"/>
      <protection locked="0"/>
    </xf>
    <xf numFmtId="0" fontId="10" fillId="0" borderId="4" xfId="0" quotePrefix="1" applyFont="1" applyBorder="1" applyAlignment="1">
      <alignment horizontal="center" vertical="center"/>
    </xf>
    <xf numFmtId="0" fontId="10" fillId="0" borderId="5" xfId="0" applyFont="1" applyBorder="1" applyAlignment="1" applyProtection="1">
      <alignment vertical="center"/>
      <protection locked="0"/>
    </xf>
    <xf numFmtId="0" fontId="10" fillId="0" borderId="7"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9" xfId="0" applyFont="1" applyBorder="1" applyAlignment="1" applyProtection="1">
      <alignment vertical="top" wrapText="1"/>
      <protection locked="0"/>
    </xf>
    <xf numFmtId="0" fontId="10" fillId="0" borderId="3" xfId="0" applyFont="1" applyBorder="1" applyAlignment="1" applyProtection="1">
      <alignment vertical="top" wrapText="1"/>
      <protection locked="0"/>
    </xf>
    <xf numFmtId="0" fontId="10" fillId="0" borderId="10" xfId="0" applyFont="1" applyBorder="1" applyAlignment="1" applyProtection="1">
      <alignment vertical="top" wrapText="1"/>
      <protection locked="0"/>
    </xf>
    <xf numFmtId="0" fontId="10" fillId="0" borderId="8" xfId="0" applyFont="1" applyBorder="1" applyAlignment="1" applyProtection="1">
      <alignment vertical="top" wrapText="1"/>
      <protection locked="0"/>
    </xf>
    <xf numFmtId="0" fontId="10" fillId="0" borderId="0" xfId="0" applyFont="1" applyAlignment="1" applyProtection="1">
      <alignment vertical="top" wrapText="1"/>
      <protection locked="0"/>
    </xf>
    <xf numFmtId="0" fontId="10" fillId="0" borderId="11" xfId="0" applyFont="1" applyBorder="1" applyAlignment="1" applyProtection="1">
      <alignment vertical="top" wrapText="1"/>
      <protection locked="0"/>
    </xf>
    <xf numFmtId="0" fontId="10" fillId="0" borderId="12" xfId="0" applyFont="1" applyBorder="1" applyAlignment="1" applyProtection="1">
      <alignment vertical="top" wrapText="1"/>
      <protection locked="0"/>
    </xf>
    <xf numFmtId="0" fontId="10" fillId="0" borderId="1" xfId="0" applyFont="1" applyBorder="1" applyAlignment="1" applyProtection="1">
      <alignment vertical="top" wrapText="1"/>
      <protection locked="0"/>
    </xf>
    <xf numFmtId="0" fontId="10" fillId="0" borderId="13" xfId="0" applyFont="1" applyBorder="1" applyAlignment="1" applyProtection="1">
      <alignment vertical="top" wrapText="1"/>
      <protection locked="0"/>
    </xf>
    <xf numFmtId="0" fontId="10" fillId="0" borderId="7" xfId="0" applyFont="1" applyBorder="1" applyAlignment="1" applyProtection="1">
      <alignment horizontal="center" vertical="center"/>
      <protection locked="0"/>
    </xf>
    <xf numFmtId="0" fontId="10" fillId="0" borderId="4" xfId="0" applyFont="1" applyBorder="1" applyAlignment="1" applyProtection="1">
      <alignment vertical="center" wrapText="1"/>
      <protection locked="0"/>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5" xfId="0" applyFont="1" applyBorder="1" applyAlignment="1" applyProtection="1">
      <alignment horizontal="center" vertical="center"/>
      <protection locked="0"/>
    </xf>
    <xf numFmtId="0" fontId="38" fillId="0" borderId="7" xfId="0" applyFont="1" applyBorder="1" applyAlignment="1" applyProtection="1">
      <alignment horizontal="center" vertical="center"/>
      <protection locked="0"/>
    </xf>
    <xf numFmtId="0" fontId="38" fillId="0" borderId="6" xfId="0" applyFont="1" applyBorder="1" applyAlignment="1" applyProtection="1">
      <alignment horizontal="center" vertical="center"/>
      <protection locked="0"/>
    </xf>
    <xf numFmtId="0" fontId="31" fillId="0" borderId="4" xfId="0" applyFont="1" applyBorder="1" applyAlignment="1" applyProtection="1">
      <alignment horizontal="center" vertical="center"/>
      <protection locked="0"/>
    </xf>
    <xf numFmtId="14" fontId="10" fillId="0" borderId="1" xfId="0" applyNumberFormat="1" applyFont="1" applyBorder="1" applyAlignment="1">
      <alignment horizontal="center" vertical="center"/>
    </xf>
    <xf numFmtId="14" fontId="10" fillId="0" borderId="4" xfId="0" applyNumberFormat="1" applyFont="1" applyBorder="1" applyAlignment="1" applyProtection="1">
      <alignment vertical="center"/>
      <protection locked="0"/>
    </xf>
    <xf numFmtId="0" fontId="10" fillId="0" borderId="1" xfId="0" applyFont="1" applyBorder="1" applyAlignment="1">
      <alignment horizontal="center" vertical="center"/>
    </xf>
    <xf numFmtId="0" fontId="26" fillId="0" borderId="0" xfId="1" applyFont="1">
      <alignment vertical="center"/>
    </xf>
    <xf numFmtId="0" fontId="10" fillId="0" borderId="5" xfId="0" quotePrefix="1"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xf>
    <xf numFmtId="0" fontId="26" fillId="0" borderId="3" xfId="0" applyFont="1" applyBorder="1" applyAlignment="1">
      <alignment horizontal="center" vertical="center"/>
    </xf>
    <xf numFmtId="14" fontId="26" fillId="0" borderId="3" xfId="0" applyNumberFormat="1" applyFont="1" applyBorder="1" applyAlignment="1">
      <alignment horizontal="center" vertical="center"/>
    </xf>
    <xf numFmtId="49" fontId="31" fillId="0" borderId="4" xfId="0" applyNumberFormat="1" applyFont="1" applyBorder="1" applyAlignment="1" applyProtection="1">
      <alignment horizontal="center" vertical="center"/>
      <protection locked="0"/>
    </xf>
    <xf numFmtId="0" fontId="31" fillId="0" borderId="5" xfId="0" applyFont="1" applyBorder="1" applyAlignment="1" applyProtection="1">
      <alignment horizontal="center" vertical="center"/>
      <protection locked="0"/>
    </xf>
    <xf numFmtId="0" fontId="31" fillId="0" borderId="7" xfId="0" applyFont="1" applyBorder="1" applyAlignment="1" applyProtection="1">
      <alignment horizontal="center" vertical="center"/>
      <protection locked="0"/>
    </xf>
    <xf numFmtId="0" fontId="31" fillId="0" borderId="6" xfId="0" applyFont="1" applyBorder="1" applyAlignment="1" applyProtection="1">
      <alignment horizontal="center" vertical="center"/>
      <protection locked="0"/>
    </xf>
    <xf numFmtId="0" fontId="32" fillId="0" borderId="4" xfId="0" applyFont="1" applyBorder="1" applyAlignment="1" applyProtection="1">
      <alignment horizontal="center" vertical="center"/>
      <protection locked="0"/>
    </xf>
    <xf numFmtId="0" fontId="31" fillId="0" borderId="4" xfId="0" applyFont="1" applyBorder="1" applyAlignment="1">
      <alignment horizontal="center" vertical="center"/>
    </xf>
    <xf numFmtId="0" fontId="28" fillId="0" borderId="0" xfId="2" applyFont="1" applyAlignment="1" applyProtection="1">
      <alignment horizontal="center" vertical="center" wrapText="1"/>
    </xf>
    <xf numFmtId="14" fontId="31" fillId="0" borderId="5" xfId="0" applyNumberFormat="1" applyFont="1" applyBorder="1" applyAlignment="1" applyProtection="1">
      <alignment horizontal="center" vertical="center"/>
      <protection locked="0"/>
    </xf>
    <xf numFmtId="14" fontId="31" fillId="0" borderId="6" xfId="0" applyNumberFormat="1" applyFont="1" applyBorder="1" applyAlignment="1" applyProtection="1">
      <alignment horizontal="center" vertical="center"/>
      <protection locked="0"/>
    </xf>
    <xf numFmtId="0" fontId="26" fillId="0" borderId="1" xfId="0" applyFont="1" applyBorder="1" applyAlignment="1">
      <alignment horizontal="center" vertical="center"/>
    </xf>
    <xf numFmtId="49" fontId="31" fillId="0" borderId="5" xfId="0" applyNumberFormat="1" applyFont="1" applyBorder="1" applyAlignment="1" applyProtection="1">
      <alignment horizontal="center" vertical="center"/>
      <protection locked="0"/>
    </xf>
    <xf numFmtId="49" fontId="32" fillId="0" borderId="7" xfId="0" applyNumberFormat="1" applyFont="1" applyBorder="1" applyAlignment="1" applyProtection="1">
      <alignment horizontal="center" vertical="center"/>
      <protection locked="0"/>
    </xf>
    <xf numFmtId="49" fontId="32" fillId="0" borderId="6" xfId="0" applyNumberFormat="1"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10" fillId="0" borderId="5" xfId="0" applyFont="1" applyBorder="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10" fillId="0" borderId="6" xfId="0" applyFont="1" applyBorder="1" applyAlignment="1" applyProtection="1">
      <alignment horizontal="left" vertical="center"/>
      <protection locked="0"/>
    </xf>
    <xf numFmtId="0" fontId="30" fillId="0" borderId="5" xfId="0" applyFont="1" applyBorder="1" applyAlignment="1">
      <alignment horizontal="center" vertical="center"/>
    </xf>
    <xf numFmtId="0" fontId="30" fillId="0" borderId="7" xfId="0" applyFont="1" applyBorder="1" applyAlignment="1">
      <alignment horizontal="center" vertical="center"/>
    </xf>
    <xf numFmtId="0" fontId="30" fillId="0" borderId="6" xfId="0" applyFont="1" applyBorder="1" applyAlignment="1">
      <alignment horizontal="center" vertical="center"/>
    </xf>
    <xf numFmtId="0" fontId="37" fillId="0" borderId="14" xfId="0" applyFont="1" applyBorder="1" applyAlignment="1" applyProtection="1">
      <alignment horizontal="center" vertical="center"/>
      <protection locked="0"/>
    </xf>
    <xf numFmtId="0" fontId="37" fillId="0" borderId="15" xfId="0" applyFont="1" applyBorder="1" applyAlignment="1" applyProtection="1">
      <alignment horizontal="center" vertical="center"/>
      <protection locked="0"/>
    </xf>
    <xf numFmtId="0" fontId="10" fillId="0" borderId="4" xfId="0" quotePrefix="1" applyFont="1" applyBorder="1" applyAlignment="1" applyProtection="1">
      <alignment horizontal="center" vertical="center"/>
      <protection locked="0"/>
    </xf>
    <xf numFmtId="0" fontId="38" fillId="0" borderId="0" xfId="2" applyFont="1" applyAlignment="1" applyProtection="1">
      <alignment horizontal="center" vertical="center" wrapText="1"/>
    </xf>
    <xf numFmtId="0" fontId="26" fillId="0" borderId="5" xfId="0" applyFont="1" applyBorder="1" applyAlignment="1">
      <alignment horizontal="center" vertical="center"/>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8" fillId="0" borderId="0" xfId="0" applyFont="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11" fillId="0" borderId="8" xfId="0" applyFont="1" applyBorder="1" applyAlignment="1">
      <alignment horizontal="left" vertical="center"/>
    </xf>
    <xf numFmtId="0" fontId="13" fillId="8" borderId="5"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6" xfId="0" applyFont="1"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xf numFmtId="0" fontId="0" fillId="7" borderId="8"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21" fillId="6" borderId="4" xfId="0" applyFont="1" applyFill="1" applyBorder="1" applyAlignment="1" applyProtection="1">
      <alignment horizontal="center" vertical="center"/>
      <protection locked="0"/>
    </xf>
    <xf numFmtId="0" fontId="14" fillId="0" borderId="8" xfId="0" applyFont="1" applyBorder="1" applyAlignment="1">
      <alignment horizontal="left" vertical="center"/>
    </xf>
    <xf numFmtId="0" fontId="14" fillId="0" borderId="0" xfId="0" applyFont="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right" vertical="center" textRotation="90"/>
    </xf>
    <xf numFmtId="0" fontId="0" fillId="0" borderId="4" xfId="0" applyBorder="1" applyAlignment="1">
      <alignment horizontal="center" vertical="center"/>
    </xf>
  </cellXfs>
  <cellStyles count="3">
    <cellStyle name="Collegamento ipertestuale" xfId="2" builtinId="8"/>
    <cellStyle name="Normale" xfId="0" builtinId="0"/>
    <cellStyle name="Sezione" xfId="1" xr:uid="{00000000-0005-0000-0000-000002000000}"/>
  </cellStyles>
  <dxfs count="84">
    <dxf>
      <font>
        <color theme="0" tint="-0.14996795556505021"/>
      </font>
    </dxf>
    <dxf>
      <fill>
        <patternFill>
          <bgColor theme="1"/>
        </patternFill>
      </fill>
    </dxf>
    <dxf>
      <fill>
        <patternFill>
          <bgColor theme="1"/>
        </patternFill>
      </fill>
    </dxf>
    <dxf>
      <font>
        <color theme="0"/>
      </font>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rgb="FFFFFF00"/>
        </patternFill>
      </fill>
    </dxf>
    <dxf>
      <fill>
        <patternFill>
          <bgColor theme="6"/>
        </patternFill>
      </fill>
    </dxf>
    <dxf>
      <fill>
        <patternFill>
          <bgColor rgb="FFFFFF00"/>
        </patternFill>
      </fill>
    </dxf>
    <dxf>
      <fill>
        <patternFill>
          <bgColor theme="6"/>
        </patternFill>
      </fill>
    </dxf>
    <dxf>
      <font>
        <color theme="0"/>
      </font>
    </dxf>
    <dxf>
      <fill>
        <patternFill>
          <bgColor theme="5"/>
        </patternFill>
      </fill>
    </dxf>
    <dxf>
      <fill>
        <patternFill>
          <bgColor theme="7"/>
        </patternFill>
      </fill>
    </dxf>
    <dxf>
      <fill>
        <patternFill>
          <bgColor theme="4"/>
        </patternFill>
      </fill>
    </dxf>
    <dxf>
      <fill>
        <patternFill>
          <bgColor theme="4"/>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patternFill>
      </fill>
    </dxf>
    <dxf>
      <fill>
        <patternFill>
          <bgColor theme="6"/>
        </patternFill>
      </fill>
    </dxf>
    <dxf>
      <fill>
        <patternFill>
          <bgColor theme="6"/>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6"/>
        </patternFill>
      </fill>
    </dxf>
    <dxf>
      <fill>
        <patternFill>
          <bgColor theme="5"/>
        </patternFill>
      </fill>
    </dxf>
    <dxf>
      <fill>
        <patternFill>
          <bgColor theme="5"/>
        </patternFill>
      </fill>
    </dxf>
    <dxf>
      <fill>
        <patternFill>
          <bgColor theme="6"/>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7"/>
        </patternFill>
      </fill>
    </dxf>
    <dxf>
      <fill>
        <patternFill>
          <bgColor theme="5"/>
        </patternFill>
      </fill>
    </dxf>
    <dxf>
      <fill>
        <patternFill>
          <bgColor theme="6"/>
        </patternFill>
      </fill>
    </dxf>
    <dxf>
      <fill>
        <patternFill>
          <bgColor theme="5"/>
        </patternFill>
      </fill>
    </dxf>
    <dxf>
      <fill>
        <patternFill>
          <bgColor theme="7"/>
        </patternFill>
      </fill>
    </dxf>
    <dxf>
      <fill>
        <patternFill>
          <bgColor theme="5"/>
        </patternFill>
      </fill>
    </dxf>
    <dxf>
      <fill>
        <patternFill>
          <bgColor theme="5"/>
        </patternFill>
      </fill>
    </dxf>
    <dxf>
      <fill>
        <patternFill>
          <bgColor theme="5"/>
        </patternFill>
      </fill>
    </dxf>
    <dxf>
      <fill>
        <patternFill>
          <bgColor theme="5"/>
        </patternFill>
      </fill>
    </dxf>
    <dxf>
      <font>
        <b/>
        <i val="0"/>
        <color theme="0"/>
      </font>
      <fill>
        <patternFill>
          <bgColor rgb="FFFF0000"/>
        </patternFill>
      </fill>
    </dxf>
    <dxf>
      <fill>
        <patternFill>
          <bgColor theme="7"/>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6"/>
        </patternFill>
      </fill>
    </dxf>
    <dxf>
      <fill>
        <patternFill>
          <bgColor theme="4"/>
        </patternFill>
      </fill>
    </dxf>
    <dxf>
      <fill>
        <patternFill>
          <bgColor theme="6"/>
        </patternFill>
      </fill>
    </dxf>
    <dxf>
      <fill>
        <patternFill>
          <bgColor theme="4"/>
        </patternFill>
      </fill>
    </dxf>
    <dxf>
      <fill>
        <patternFill>
          <bgColor theme="5"/>
        </patternFill>
      </fill>
    </dxf>
    <dxf>
      <fill>
        <patternFill>
          <bgColor theme="5"/>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4"/>
        </patternFill>
      </fill>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wmf"/><Relationship Id="rId5" Type="http://schemas.openxmlformats.org/officeDocument/2006/relationships/image" Target="../media/image6.emf"/><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9</xdr:col>
      <xdr:colOff>152400</xdr:colOff>
      <xdr:row>0</xdr:row>
      <xdr:rowOff>76199</xdr:rowOff>
    </xdr:from>
    <xdr:to>
      <xdr:col>11</xdr:col>
      <xdr:colOff>553621</xdr:colOff>
      <xdr:row>2</xdr:row>
      <xdr:rowOff>104774</xdr:rowOff>
    </xdr:to>
    <xdr:pic>
      <xdr:nvPicPr>
        <xdr:cNvPr id="3" name="Immagine 2">
          <a:extLst>
            <a:ext uri="{FF2B5EF4-FFF2-40B4-BE49-F238E27FC236}">
              <a16:creationId xmlns:a16="http://schemas.microsoft.com/office/drawing/2014/main" id="{53DB1372-13D3-2F7C-D115-BCEA08B7C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2075" y="76199"/>
          <a:ext cx="1601371"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439636</xdr:colOff>
      <xdr:row>18</xdr:row>
      <xdr:rowOff>95250</xdr:rowOff>
    </xdr:from>
    <xdr:to>
      <xdr:col>9</xdr:col>
      <xdr:colOff>333375</xdr:colOff>
      <xdr:row>20</xdr:row>
      <xdr:rowOff>130968</xdr:rowOff>
    </xdr:to>
    <xdr:pic>
      <xdr:nvPicPr>
        <xdr:cNvPr id="2" name="Picture 1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1324" y="3571875"/>
          <a:ext cx="572395" cy="4881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438150</xdr:colOff>
      <xdr:row>18</xdr:row>
      <xdr:rowOff>142875</xdr:rowOff>
    </xdr:from>
    <xdr:to>
      <xdr:col>4</xdr:col>
      <xdr:colOff>857250</xdr:colOff>
      <xdr:row>21</xdr:row>
      <xdr:rowOff>95250</xdr:rowOff>
    </xdr:to>
    <xdr:pic>
      <xdr:nvPicPr>
        <xdr:cNvPr id="3" name="Picture 7">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0700" y="3609975"/>
          <a:ext cx="177165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18</xdr:row>
      <xdr:rowOff>142875</xdr:rowOff>
    </xdr:from>
    <xdr:to>
      <xdr:col>2</xdr:col>
      <xdr:colOff>323850</xdr:colOff>
      <xdr:row>22</xdr:row>
      <xdr:rowOff>28575</xdr:rowOff>
    </xdr:to>
    <xdr:pic>
      <xdr:nvPicPr>
        <xdr:cNvPr id="4" name="Picture 9">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 y="3609975"/>
          <a:ext cx="8096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504825</xdr:colOff>
      <xdr:row>19</xdr:row>
      <xdr:rowOff>133350</xdr:rowOff>
    </xdr:from>
    <xdr:to>
      <xdr:col>6</xdr:col>
      <xdr:colOff>142875</xdr:colOff>
      <xdr:row>21</xdr:row>
      <xdr:rowOff>95250</xdr:rowOff>
    </xdr:to>
    <xdr:pic>
      <xdr:nvPicPr>
        <xdr:cNvPr id="5" name="Picture 10">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86200" y="3829050"/>
          <a:ext cx="54292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603794</xdr:colOff>
      <xdr:row>22</xdr:row>
      <xdr:rowOff>131920</xdr:rowOff>
    </xdr:from>
    <xdr:to>
      <xdr:col>9</xdr:col>
      <xdr:colOff>169216</xdr:colOff>
      <xdr:row>22</xdr:row>
      <xdr:rowOff>305991</xdr:rowOff>
    </xdr:to>
    <xdr:pic>
      <xdr:nvPicPr>
        <xdr:cNvPr id="6" name="Picture 12">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85482" y="4513420"/>
          <a:ext cx="244078" cy="174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228600</xdr:colOff>
      <xdr:row>23</xdr:row>
      <xdr:rowOff>136879</xdr:rowOff>
    </xdr:from>
    <xdr:to>
      <xdr:col>9</xdr:col>
      <xdr:colOff>457200</xdr:colOff>
      <xdr:row>27</xdr:row>
      <xdr:rowOff>296668</xdr:rowOff>
    </xdr:to>
    <xdr:pic>
      <xdr:nvPicPr>
        <xdr:cNvPr id="7" name="Immagin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38800" y="4832704"/>
          <a:ext cx="904875" cy="9027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46</xdr:col>
      <xdr:colOff>152400</xdr:colOff>
      <xdr:row>4</xdr:row>
      <xdr:rowOff>180975</xdr:rowOff>
    </xdr:from>
    <xdr:to>
      <xdr:col>51</xdr:col>
      <xdr:colOff>296046</xdr:colOff>
      <xdr:row>13</xdr:row>
      <xdr:rowOff>57372</xdr:rowOff>
    </xdr:to>
    <xdr:pic>
      <xdr:nvPicPr>
        <xdr:cNvPr id="2" name="Immagine 1" descr="Immagine che contiene testo, schermata, Carattere, numero&#10;&#10;Descrizione generata automaticamente">
          <a:extLst>
            <a:ext uri="{FF2B5EF4-FFF2-40B4-BE49-F238E27FC236}">
              <a16:creationId xmlns:a16="http://schemas.microsoft.com/office/drawing/2014/main" id="{D987628E-69F2-2D52-C83F-B74C47821596}"/>
            </a:ext>
          </a:extLst>
        </xdr:cNvPr>
        <xdr:cNvPicPr>
          <a:picLocks noChangeAspect="1"/>
        </xdr:cNvPicPr>
      </xdr:nvPicPr>
      <xdr:blipFill>
        <a:blip xmlns:r="http://schemas.openxmlformats.org/officeDocument/2006/relationships" r:embed="rId1"/>
        <a:stretch>
          <a:fillRect/>
        </a:stretch>
      </xdr:blipFill>
      <xdr:spPr>
        <a:xfrm>
          <a:off x="51130200" y="942975"/>
          <a:ext cx="5525271" cy="1590897"/>
        </a:xfrm>
        <a:prstGeom prst="rect">
          <a:avLst/>
        </a:prstGeom>
      </xdr:spPr>
    </xdr:pic>
    <xdr:clientData/>
  </xdr:twoCellAnchor>
</xdr:wsDr>
</file>

<file path=xl/theme/theme1.xml><?xml version="1.0" encoding="utf-8"?>
<a:theme xmlns:a="http://schemas.openxmlformats.org/drawingml/2006/main" name="Tema di Office">
  <a:themeElements>
    <a:clrScheme name="Standard">
      <a:dk1>
        <a:sysClr val="windowText" lastClr="000000"/>
      </a:dk1>
      <a:lt1>
        <a:sysClr val="window" lastClr="FFFFFF"/>
      </a:lt1>
      <a:dk2>
        <a:srgbClr val="1F497D"/>
      </a:dk2>
      <a:lt2>
        <a:srgbClr val="EEECE1"/>
      </a:lt2>
      <a:accent1>
        <a:srgbClr val="FF99CC"/>
      </a:accent1>
      <a:accent2>
        <a:srgbClr val="FFCC99"/>
      </a:accent2>
      <a:accent3>
        <a:srgbClr val="FFFF99"/>
      </a:accent3>
      <a:accent4>
        <a:srgbClr val="CCFFCC"/>
      </a:accent4>
      <a:accent5>
        <a:srgbClr val="CCFFFF"/>
      </a:accent5>
      <a:accent6>
        <a:srgbClr val="99CCFF"/>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M272"/>
  <sheetViews>
    <sheetView showGridLines="0" tabSelected="1" zoomScale="110" zoomScaleNormal="110" workbookViewId="0">
      <selection activeCell="C269" sqref="C269:L269"/>
    </sheetView>
  </sheetViews>
  <sheetFormatPr defaultColWidth="10.6640625" defaultRowHeight="15" customHeight="1" x14ac:dyDescent="0.15"/>
  <cols>
    <col min="1" max="1" width="3.83203125" style="103" customWidth="1"/>
    <col min="2" max="12" width="10.5" style="24" customWidth="1"/>
    <col min="13" max="13" width="10.6640625" style="24"/>
    <col min="14" max="14" width="37.83203125" style="24" bestFit="1" customWidth="1"/>
    <col min="15" max="15" width="8.83203125" style="24" customWidth="1"/>
    <col min="16" max="18" width="10.6640625" style="91" hidden="1" customWidth="1"/>
    <col min="19" max="23" width="10.83203125" style="24" hidden="1" customWidth="1"/>
    <col min="24" max="40" width="10.6640625" style="24" hidden="1" customWidth="1"/>
    <col min="41" max="41" width="10.6640625" style="24"/>
    <col min="42" max="50" width="10.6640625" style="24" customWidth="1"/>
    <col min="51" max="51" width="10.6640625" style="24"/>
    <col min="52" max="52" width="10.6640625" style="91" hidden="1" customWidth="1"/>
    <col min="53" max="63" width="10.6640625" style="24" hidden="1" customWidth="1"/>
    <col min="64" max="64" width="10.6640625" style="91" hidden="1" customWidth="1"/>
    <col min="65" max="16384" width="10.6640625" style="24"/>
  </cols>
  <sheetData>
    <row r="1" spans="1:65" ht="15" customHeight="1" x14ac:dyDescent="0.25">
      <c r="A1" s="88"/>
      <c r="B1" s="89" t="str">
        <f>VLOOKUP(BA1,trad_termini,ID_lingua,FALSE)</f>
        <v>Job</v>
      </c>
      <c r="C1" s="225" t="str">
        <f>VLOOKUP(BB1,trad_termini,ID_lingua,FALSE)</f>
        <v>Serial Number</v>
      </c>
      <c r="D1" s="225"/>
      <c r="E1" s="225" t="str">
        <f>VLOOKUP(BD1,trad_termini,ID_lingua,FALSE)</f>
        <v>Machine Code</v>
      </c>
      <c r="F1" s="225"/>
      <c r="G1" s="225" t="str">
        <f>VLOOKUP(BF1,trad_termini,ID_lingua,FALSE)</f>
        <v>Issue Date</v>
      </c>
      <c r="H1" s="225"/>
      <c r="I1" s="90" t="str">
        <f>VLOOKUP(BH1,trad_termini,ID_lingua,FALSE)</f>
        <v>Rev.</v>
      </c>
      <c r="J1" s="91"/>
      <c r="K1" s="92"/>
      <c r="L1" s="92"/>
      <c r="N1" s="93" t="s">
        <v>1774</v>
      </c>
      <c r="O1" s="94" t="s">
        <v>463</v>
      </c>
      <c r="P1" s="95"/>
      <c r="Q1" s="95" t="s">
        <v>465</v>
      </c>
      <c r="R1" s="96" t="s">
        <v>2078</v>
      </c>
      <c r="S1" s="97"/>
      <c r="T1" s="98" t="s">
        <v>467</v>
      </c>
      <c r="U1" s="99"/>
      <c r="V1" s="100"/>
      <c r="W1" s="99"/>
      <c r="X1" s="101" t="s">
        <v>740</v>
      </c>
      <c r="Y1" s="101"/>
      <c r="Z1" s="101"/>
      <c r="AA1" s="101"/>
      <c r="AB1" s="101"/>
      <c r="AC1" s="101"/>
      <c r="AD1" s="101"/>
      <c r="AE1" s="101"/>
      <c r="AF1" s="101"/>
      <c r="AG1" s="101"/>
      <c r="AH1" s="101"/>
      <c r="AI1" s="101"/>
      <c r="AJ1" s="101"/>
      <c r="AK1" s="101"/>
      <c r="AL1" s="101"/>
      <c r="AM1" s="101"/>
      <c r="AN1" s="101" t="s">
        <v>466</v>
      </c>
      <c r="AO1" s="24" t="s">
        <v>464</v>
      </c>
      <c r="AY1" s="94" t="s">
        <v>463</v>
      </c>
      <c r="AZ1" s="102">
        <v>1</v>
      </c>
      <c r="BA1" s="102">
        <v>29</v>
      </c>
      <c r="BB1" s="102">
        <v>105</v>
      </c>
      <c r="BC1" s="102" t="s">
        <v>1569</v>
      </c>
      <c r="BD1" s="102">
        <v>24</v>
      </c>
      <c r="BE1" s="102" t="s">
        <v>1569</v>
      </c>
      <c r="BF1" s="102">
        <v>49</v>
      </c>
      <c r="BG1" s="102" t="s">
        <v>1569</v>
      </c>
      <c r="BH1" s="102">
        <v>134</v>
      </c>
      <c r="BI1" s="102" t="s">
        <v>1569</v>
      </c>
      <c r="BJ1" s="102" t="s">
        <v>1569</v>
      </c>
      <c r="BK1" s="102" t="s">
        <v>1569</v>
      </c>
      <c r="BL1" s="102" t="s">
        <v>466</v>
      </c>
      <c r="BM1" s="24" t="s">
        <v>464</v>
      </c>
    </row>
    <row r="2" spans="1:65" ht="15" customHeight="1" x14ac:dyDescent="0.15">
      <c r="B2" s="104" t="str">
        <f>comm</f>
        <v>BE0807C</v>
      </c>
      <c r="C2" s="226" t="str">
        <f>matr</f>
        <v>BE0807C-R007642</v>
      </c>
      <c r="D2" s="226"/>
      <c r="E2" s="226" t="str">
        <f>macchina_cod</f>
        <v>TKK40 BRZ STD-C</v>
      </c>
      <c r="F2" s="226"/>
      <c r="G2" s="227">
        <f>data</f>
        <v>45831</v>
      </c>
      <c r="H2" s="227"/>
      <c r="I2" s="105">
        <f>SUM(R27:R31)</f>
        <v>0</v>
      </c>
      <c r="N2" s="93" t="s">
        <v>1774</v>
      </c>
      <c r="AZ2" s="102">
        <v>2</v>
      </c>
      <c r="BA2" s="91" t="s">
        <v>1569</v>
      </c>
      <c r="BB2" s="91" t="s">
        <v>1569</v>
      </c>
      <c r="BC2" s="91" t="s">
        <v>1569</v>
      </c>
      <c r="BD2" s="91" t="s">
        <v>1569</v>
      </c>
      <c r="BE2" s="91" t="s">
        <v>1569</v>
      </c>
      <c r="BF2" s="91" t="s">
        <v>1569</v>
      </c>
      <c r="BG2" s="91" t="s">
        <v>1569</v>
      </c>
      <c r="BH2" s="91" t="s">
        <v>1569</v>
      </c>
      <c r="BI2" s="91" t="s">
        <v>1569</v>
      </c>
      <c r="BJ2" s="91" t="s">
        <v>1569</v>
      </c>
      <c r="BK2" s="91" t="s">
        <v>1569</v>
      </c>
      <c r="BL2" s="102"/>
    </row>
    <row r="3" spans="1:65" ht="15" customHeight="1" x14ac:dyDescent="0.15">
      <c r="B3" s="106"/>
      <c r="C3" s="106"/>
      <c r="D3" s="106"/>
      <c r="E3" s="106"/>
      <c r="F3" s="106"/>
      <c r="G3" s="107"/>
      <c r="H3" s="107"/>
      <c r="I3" s="108"/>
      <c r="J3" s="108"/>
      <c r="K3" s="108"/>
      <c r="L3" s="108"/>
      <c r="AZ3" s="102">
        <v>3</v>
      </c>
      <c r="BA3" s="91" t="s">
        <v>1569</v>
      </c>
      <c r="BB3" s="91" t="s">
        <v>1569</v>
      </c>
      <c r="BC3" s="91" t="s">
        <v>1569</v>
      </c>
      <c r="BD3" s="91" t="s">
        <v>1569</v>
      </c>
      <c r="BE3" s="91" t="s">
        <v>1569</v>
      </c>
      <c r="BF3" s="91" t="s">
        <v>1569</v>
      </c>
      <c r="BG3" s="91" t="s">
        <v>1569</v>
      </c>
      <c r="BH3" s="91" t="s">
        <v>1569</v>
      </c>
      <c r="BI3" s="91" t="s">
        <v>1569</v>
      </c>
      <c r="BJ3" s="91" t="s">
        <v>1569</v>
      </c>
      <c r="BK3" s="91" t="s">
        <v>1569</v>
      </c>
      <c r="BL3" s="102"/>
    </row>
    <row r="4" spans="1:65" ht="24.95" customHeight="1" x14ac:dyDescent="0.15">
      <c r="B4" s="109" t="str">
        <f>VLOOKUP(BA4,trad_termini,ID_lingua,FALSE)</f>
        <v>TKK Chain Conveyor - Double Chain</v>
      </c>
      <c r="N4" s="179" t="s">
        <v>1773</v>
      </c>
      <c r="AZ4" s="102">
        <v>4</v>
      </c>
      <c r="BA4" s="91">
        <v>173</v>
      </c>
      <c r="BB4" s="91" t="s">
        <v>1569</v>
      </c>
      <c r="BC4" s="91" t="s">
        <v>1569</v>
      </c>
      <c r="BD4" s="91" t="s">
        <v>1569</v>
      </c>
      <c r="BE4" s="91" t="s">
        <v>1569</v>
      </c>
      <c r="BF4" s="91" t="s">
        <v>1569</v>
      </c>
      <c r="BG4" s="91" t="s">
        <v>1569</v>
      </c>
      <c r="BH4" s="91" t="s">
        <v>1569</v>
      </c>
      <c r="BI4" s="91" t="s">
        <v>1569</v>
      </c>
      <c r="BJ4" s="91" t="s">
        <v>1569</v>
      </c>
      <c r="BK4" s="91" t="s">
        <v>1569</v>
      </c>
      <c r="BL4" s="102"/>
    </row>
    <row r="5" spans="1:65" ht="24.95" customHeight="1" x14ac:dyDescent="0.15">
      <c r="B5" s="110" t="str">
        <f>VLOOKUP(BA5,trad_termini,ID_lingua,FALSE)</f>
        <v>Machine Specifications</v>
      </c>
      <c r="J5" s="234" t="str">
        <f>IF(nota_1&lt;&gt;"","VEDERE LE NOTE IN FONDO ALLA DISTINTA","")</f>
        <v>VEDERE LE NOTE IN FONDO ALLA DISTINTA</v>
      </c>
      <c r="K5" s="234"/>
      <c r="L5" s="234"/>
      <c r="N5" s="24" t="str">
        <f>IF(J5&lt;&gt;"",VLOOKUP(BL5,trad_termini,ID_lingua,FALSE),"")</f>
        <v>&lt;PLEASE SELECT FOR REMARKS</v>
      </c>
      <c r="AZ5" s="102">
        <v>5</v>
      </c>
      <c r="BA5" s="91">
        <v>62</v>
      </c>
      <c r="BB5" s="91" t="s">
        <v>1569</v>
      </c>
      <c r="BC5" s="91" t="s">
        <v>1569</v>
      </c>
      <c r="BD5" s="91" t="s">
        <v>1569</v>
      </c>
      <c r="BE5" s="91" t="s">
        <v>1569</v>
      </c>
      <c r="BF5" s="91" t="s">
        <v>1569</v>
      </c>
      <c r="BG5" s="91" t="s">
        <v>1569</v>
      </c>
      <c r="BH5" s="91" t="s">
        <v>1569</v>
      </c>
      <c r="BI5" s="91" t="s">
        <v>1569</v>
      </c>
      <c r="BJ5" s="91" t="s">
        <v>1569</v>
      </c>
      <c r="BK5" s="91" t="s">
        <v>1569</v>
      </c>
      <c r="BL5" s="102" t="s">
        <v>1964</v>
      </c>
    </row>
    <row r="6" spans="1:65" ht="15" customHeight="1" x14ac:dyDescent="0.15">
      <c r="B6" s="110"/>
      <c r="N6" s="87" t="s">
        <v>2039</v>
      </c>
      <c r="O6" s="87"/>
      <c r="P6" s="106" t="s">
        <v>24</v>
      </c>
      <c r="Q6" s="106" t="s">
        <v>24</v>
      </c>
      <c r="R6" s="106" t="s">
        <v>25</v>
      </c>
      <c r="S6" s="108" t="s">
        <v>26</v>
      </c>
      <c r="AZ6" s="102">
        <v>6</v>
      </c>
      <c r="BA6" s="91" t="s">
        <v>1569</v>
      </c>
      <c r="BB6" s="91" t="s">
        <v>1569</v>
      </c>
      <c r="BC6" s="91" t="s">
        <v>1569</v>
      </c>
      <c r="BD6" s="91" t="s">
        <v>1569</v>
      </c>
      <c r="BE6" s="91" t="s">
        <v>1569</v>
      </c>
      <c r="BF6" s="91" t="s">
        <v>1569</v>
      </c>
      <c r="BG6" s="91" t="s">
        <v>1569</v>
      </c>
      <c r="BH6" s="91" t="s">
        <v>1569</v>
      </c>
      <c r="BI6" s="91" t="s">
        <v>1569</v>
      </c>
      <c r="BJ6" s="91" t="s">
        <v>1569</v>
      </c>
      <c r="BK6" s="91" t="s">
        <v>1569</v>
      </c>
      <c r="BL6" s="102"/>
    </row>
    <row r="7" spans="1:65" ht="15" customHeight="1" x14ac:dyDescent="0.15">
      <c r="B7" s="94" t="str">
        <f t="shared" ref="B7:I7" si="0">VLOOKUP(BA7,trad_termini,ID_lingua,FALSE)</f>
        <v>Recipient&gt;</v>
      </c>
      <c r="C7" s="111" t="str">
        <f t="shared" si="0"/>
        <v>SUPPLIER</v>
      </c>
      <c r="D7" s="111" t="str">
        <f t="shared" si="0"/>
        <v>TECH. DEPT.</v>
      </c>
      <c r="E7" s="111" t="str">
        <f t="shared" si="0"/>
        <v>PURCH. OFF.</v>
      </c>
      <c r="F7" s="111" t="str">
        <f t="shared" si="0"/>
        <v>WORKSHOP</v>
      </c>
      <c r="G7" s="111" t="str">
        <f t="shared" si="0"/>
        <v>WAREHOUSE</v>
      </c>
      <c r="H7" s="111" t="str">
        <f t="shared" si="0"/>
        <v>MFG DIR.</v>
      </c>
      <c r="I7" s="111" t="str">
        <f t="shared" si="0"/>
        <v>INSTALLER</v>
      </c>
      <c r="J7" s="111" t="s">
        <v>17</v>
      </c>
      <c r="K7" s="111" t="s">
        <v>18</v>
      </c>
      <c r="L7" s="111" t="s">
        <v>19</v>
      </c>
      <c r="N7" s="87"/>
      <c r="O7" s="87"/>
      <c r="U7" s="112"/>
      <c r="AZ7" s="102">
        <v>7</v>
      </c>
      <c r="BA7" s="91">
        <v>63</v>
      </c>
      <c r="BB7" s="91">
        <v>72</v>
      </c>
      <c r="BC7" s="91">
        <v>174</v>
      </c>
      <c r="BD7" s="91">
        <v>4</v>
      </c>
      <c r="BE7" s="91">
        <v>112</v>
      </c>
      <c r="BF7" s="91">
        <v>100</v>
      </c>
      <c r="BG7" s="91">
        <v>55</v>
      </c>
      <c r="BH7" s="91">
        <v>162</v>
      </c>
      <c r="BI7" s="91" t="s">
        <v>1569</v>
      </c>
      <c r="BJ7" s="91" t="s">
        <v>1569</v>
      </c>
      <c r="BK7" s="91" t="s">
        <v>1569</v>
      </c>
      <c r="BL7" s="102"/>
    </row>
    <row r="8" spans="1:65" ht="15" customHeight="1" x14ac:dyDescent="0.15">
      <c r="B8" s="94" t="str">
        <f>VLOOKUP(BA8,trad_termini,ID_lingua,FALSE)</f>
        <v>Supplied By&gt;</v>
      </c>
      <c r="C8" s="113" t="s">
        <v>21</v>
      </c>
      <c r="D8" s="114" t="s">
        <v>2037</v>
      </c>
      <c r="E8" s="115" t="str">
        <f>VLOOKUP(BD8,trad_termini,ID_lingua,FALSE)</f>
        <v>Ship to Cust.</v>
      </c>
      <c r="F8" s="116" t="str">
        <f>VLOOKUP(BE8,trad_termini,ID_lingua,FALSE)</f>
        <v>Cust. Supply</v>
      </c>
      <c r="N8" s="117"/>
      <c r="P8" s="118"/>
      <c r="Q8" s="118"/>
      <c r="R8" s="118"/>
      <c r="S8" s="119"/>
      <c r="AZ8" s="102">
        <v>8</v>
      </c>
      <c r="BA8" s="91">
        <v>75</v>
      </c>
      <c r="BB8" s="91" t="s">
        <v>1569</v>
      </c>
      <c r="BC8" s="120" t="s">
        <v>1569</v>
      </c>
      <c r="BD8" s="91">
        <v>154</v>
      </c>
      <c r="BE8" s="91">
        <v>73</v>
      </c>
      <c r="BF8" s="91" t="s">
        <v>1569</v>
      </c>
      <c r="BG8" s="91" t="s">
        <v>1569</v>
      </c>
      <c r="BH8" s="91" t="s">
        <v>1569</v>
      </c>
      <c r="BI8" s="91" t="s">
        <v>1569</v>
      </c>
      <c r="BJ8" s="91" t="s">
        <v>1569</v>
      </c>
      <c r="BK8" s="91" t="s">
        <v>1569</v>
      </c>
      <c r="BL8" s="102"/>
    </row>
    <row r="9" spans="1:65" ht="15" customHeight="1" x14ac:dyDescent="0.15">
      <c r="N9" s="117"/>
      <c r="P9" s="118"/>
      <c r="Q9" s="118"/>
      <c r="R9" s="118"/>
      <c r="S9" s="119"/>
      <c r="AZ9" s="102">
        <v>9</v>
      </c>
      <c r="BA9" s="91" t="s">
        <v>1569</v>
      </c>
      <c r="BB9" s="91" t="s">
        <v>1569</v>
      </c>
      <c r="BC9" s="91" t="s">
        <v>1569</v>
      </c>
      <c r="BD9" s="91" t="s">
        <v>1569</v>
      </c>
      <c r="BE9" s="91" t="s">
        <v>1569</v>
      </c>
      <c r="BF9" s="91" t="s">
        <v>1569</v>
      </c>
      <c r="BG9" s="91" t="s">
        <v>1569</v>
      </c>
      <c r="BH9" s="91" t="s">
        <v>1569</v>
      </c>
      <c r="BI9" s="91" t="s">
        <v>1569</v>
      </c>
      <c r="BJ9" s="91" t="s">
        <v>1569</v>
      </c>
      <c r="BK9" s="91" t="s">
        <v>1569</v>
      </c>
      <c r="BL9" s="102"/>
    </row>
    <row r="10" spans="1:65" ht="15" customHeight="1" x14ac:dyDescent="0.15">
      <c r="B10" s="121" t="str">
        <f>VLOOKUP(BA10,trad_termini,ID_lingua,FALSE)</f>
        <v>General Data</v>
      </c>
      <c r="N10" s="117"/>
      <c r="P10" s="118"/>
      <c r="Q10" s="118"/>
      <c r="R10" s="118"/>
      <c r="S10" s="119"/>
      <c r="AZ10" s="102">
        <v>10</v>
      </c>
      <c r="BA10" s="91">
        <v>50</v>
      </c>
      <c r="BB10" s="91" t="s">
        <v>1569</v>
      </c>
      <c r="BC10" s="91" t="s">
        <v>1569</v>
      </c>
      <c r="BD10" s="91" t="s">
        <v>1569</v>
      </c>
      <c r="BE10" s="91" t="s">
        <v>1569</v>
      </c>
      <c r="BF10" s="91" t="s">
        <v>1569</v>
      </c>
      <c r="BG10" s="91" t="s">
        <v>1569</v>
      </c>
      <c r="BH10" s="91" t="s">
        <v>1569</v>
      </c>
      <c r="BI10" s="91" t="s">
        <v>1569</v>
      </c>
      <c r="BJ10" s="91" t="s">
        <v>1569</v>
      </c>
      <c r="BK10" s="91" t="s">
        <v>1569</v>
      </c>
      <c r="BL10" s="102"/>
    </row>
    <row r="11" spans="1:65" ht="15" customHeight="1" x14ac:dyDescent="0.15">
      <c r="B11" s="221" t="str">
        <f>VLOOKUP(BA11,trad_termini,ID_lingua,FALSE)</f>
        <v>Job</v>
      </c>
      <c r="C11" s="221"/>
      <c r="N11" s="117"/>
      <c r="P11" s="118"/>
      <c r="Q11" s="118"/>
      <c r="R11" s="118"/>
      <c r="S11" s="119"/>
      <c r="AZ11" s="102">
        <v>11</v>
      </c>
      <c r="BA11" s="91">
        <v>29</v>
      </c>
      <c r="BB11" s="91" t="s">
        <v>1569</v>
      </c>
      <c r="BC11" s="91" t="s">
        <v>1569</v>
      </c>
      <c r="BD11" s="91" t="s">
        <v>1569</v>
      </c>
      <c r="BE11" s="91" t="s">
        <v>1569</v>
      </c>
      <c r="BF11" s="91" t="s">
        <v>1569</v>
      </c>
      <c r="BG11" s="91" t="s">
        <v>1569</v>
      </c>
      <c r="BH11" s="91" t="s">
        <v>1569</v>
      </c>
      <c r="BI11" s="91" t="s">
        <v>1569</v>
      </c>
      <c r="BJ11" s="91" t="s">
        <v>1569</v>
      </c>
      <c r="BK11" s="91" t="s">
        <v>1569</v>
      </c>
      <c r="BL11" s="102"/>
    </row>
    <row r="12" spans="1:65" ht="15" customHeight="1" x14ac:dyDescent="0.15">
      <c r="B12" s="91" t="str">
        <f>VLOOKUP(BA12,trad_termini,ID_lingua,FALSE)</f>
        <v>Machine</v>
      </c>
      <c r="C12" s="91" t="str">
        <f>VLOOKUP(BB12,trad_termini,ID_lingua,FALSE)</f>
        <v>Sale</v>
      </c>
      <c r="E12" s="91" t="str">
        <f>VLOOKUP(BD12,trad_termini,ID_lingua,FALSE)</f>
        <v>Drawing</v>
      </c>
      <c r="G12" s="221" t="str">
        <f>VLOOKUP(BF12,trad_termini,ID_lingua,FALSE)</f>
        <v>Serial Number</v>
      </c>
      <c r="H12" s="221"/>
      <c r="K12" s="221" t="str">
        <f>VLOOKUP(BJ12,trad_termini,ID_lingua,FALSE)</f>
        <v>Issue Date</v>
      </c>
      <c r="L12" s="221"/>
      <c r="N12" s="117"/>
      <c r="P12" s="118"/>
      <c r="Q12" s="118"/>
      <c r="R12" s="118"/>
      <c r="S12" s="119"/>
      <c r="Y12" s="91"/>
      <c r="Z12" s="91"/>
      <c r="AA12" s="91"/>
      <c r="AB12" s="91"/>
      <c r="AC12" s="91"/>
      <c r="AD12" s="91"/>
      <c r="AE12" s="91"/>
      <c r="AF12" s="91"/>
      <c r="AG12" s="91"/>
      <c r="AZ12" s="102">
        <v>12</v>
      </c>
      <c r="BA12" s="91">
        <v>99</v>
      </c>
      <c r="BB12" s="91">
        <v>177</v>
      </c>
      <c r="BC12" s="91" t="s">
        <v>1569</v>
      </c>
      <c r="BD12" s="91">
        <v>57</v>
      </c>
      <c r="BE12" s="91" t="s">
        <v>1569</v>
      </c>
      <c r="BF12" s="91">
        <v>105</v>
      </c>
      <c r="BG12" s="91" t="s">
        <v>1569</v>
      </c>
      <c r="BH12" s="91" t="s">
        <v>1569</v>
      </c>
      <c r="BI12" s="91" t="s">
        <v>1569</v>
      </c>
      <c r="BJ12" s="91">
        <v>49</v>
      </c>
      <c r="BK12" s="91" t="s">
        <v>1569</v>
      </c>
      <c r="BL12" s="102"/>
    </row>
    <row r="13" spans="1:65" ht="15" customHeight="1" x14ac:dyDescent="0.15">
      <c r="B13" s="122" t="s">
        <v>2079</v>
      </c>
      <c r="C13" s="122" t="s">
        <v>40</v>
      </c>
      <c r="E13" s="122" t="s">
        <v>2080</v>
      </c>
      <c r="G13" s="233" t="str">
        <f>CONCATENATE(comm,"-",dis)</f>
        <v>BE0807C-R007642</v>
      </c>
      <c r="H13" s="233"/>
      <c r="K13" s="235">
        <v>45831</v>
      </c>
      <c r="L13" s="236"/>
      <c r="N13" s="124" t="str">
        <f>IF(OR(RIGHT(comm,1)&lt;&gt;"C",LEN(comm)&lt;&gt;7),VLOOKUP(BL13,trad_termini,ID_lingua,FALSE),"")</f>
        <v/>
      </c>
      <c r="P13" s="118"/>
      <c r="Q13" s="118"/>
      <c r="R13" s="118">
        <f>IF(C13&lt;&gt;"-",1,0)</f>
        <v>0</v>
      </c>
      <c r="S13" s="119" t="s">
        <v>777</v>
      </c>
      <c r="AZ13" s="102">
        <v>13</v>
      </c>
      <c r="BA13" s="91" t="s">
        <v>1569</v>
      </c>
      <c r="BB13" s="91" t="s">
        <v>1569</v>
      </c>
      <c r="BC13" s="91" t="s">
        <v>1569</v>
      </c>
      <c r="BD13" s="91" t="s">
        <v>1569</v>
      </c>
      <c r="BE13" s="91" t="s">
        <v>1569</v>
      </c>
      <c r="BF13" s="91" t="s">
        <v>1569</v>
      </c>
      <c r="BG13" s="91" t="s">
        <v>1569</v>
      </c>
      <c r="BH13" s="91" t="s">
        <v>1569</v>
      </c>
      <c r="BI13" s="91" t="s">
        <v>1569</v>
      </c>
      <c r="BJ13" s="91" t="s">
        <v>1569</v>
      </c>
      <c r="BK13" s="91" t="s">
        <v>1569</v>
      </c>
      <c r="BL13" s="102" t="s">
        <v>1937</v>
      </c>
    </row>
    <row r="14" spans="1:65" ht="9.9499999999999993" customHeight="1" x14ac:dyDescent="0.15">
      <c r="N14" s="117"/>
      <c r="P14" s="118"/>
      <c r="Q14" s="118"/>
      <c r="R14" s="118"/>
      <c r="S14" s="119"/>
      <c r="AZ14" s="102">
        <v>14</v>
      </c>
      <c r="BA14" s="91" t="s">
        <v>1569</v>
      </c>
      <c r="BB14" s="91" t="s">
        <v>1569</v>
      </c>
      <c r="BC14" s="91" t="s">
        <v>1569</v>
      </c>
      <c r="BD14" s="91" t="s">
        <v>1569</v>
      </c>
      <c r="BE14" s="91" t="s">
        <v>1569</v>
      </c>
      <c r="BF14" s="91" t="s">
        <v>1569</v>
      </c>
      <c r="BG14" s="91" t="s">
        <v>1569</v>
      </c>
      <c r="BH14" s="91" t="s">
        <v>1569</v>
      </c>
      <c r="BI14" s="91" t="s">
        <v>1569</v>
      </c>
      <c r="BJ14" s="91" t="s">
        <v>1569</v>
      </c>
      <c r="BK14" s="91" t="s">
        <v>1569</v>
      </c>
      <c r="BL14" s="102"/>
    </row>
    <row r="15" spans="1:65" ht="15" customHeight="1" x14ac:dyDescent="0.15">
      <c r="B15" s="221" t="str">
        <f>VLOOKUP(BA15,trad_termini,ID_lingua,FALSE)</f>
        <v>Customer</v>
      </c>
      <c r="C15" s="221"/>
      <c r="D15" s="221"/>
      <c r="E15" s="221"/>
      <c r="F15" s="221" t="str">
        <f>VLOOKUP(BE15,trad_termini,ID_lingua,FALSE)</f>
        <v>Plant</v>
      </c>
      <c r="G15" s="221"/>
      <c r="H15" s="221"/>
      <c r="I15" s="221"/>
      <c r="J15" s="221" t="str">
        <f>VLOOKUP(BI15,trad_termini,ID_lingua,FALSE)</f>
        <v>Layout Pos.</v>
      </c>
      <c r="K15" s="221"/>
      <c r="L15" s="221"/>
      <c r="N15" s="117"/>
      <c r="P15" s="118"/>
      <c r="Q15" s="118"/>
      <c r="R15" s="118"/>
      <c r="S15" s="119"/>
      <c r="AZ15" s="102">
        <v>15</v>
      </c>
      <c r="BA15" s="91">
        <v>22</v>
      </c>
      <c r="BB15" s="91" t="s">
        <v>1569</v>
      </c>
      <c r="BC15" s="91" t="s">
        <v>1569</v>
      </c>
      <c r="BD15" s="91" t="s">
        <v>1569</v>
      </c>
      <c r="BE15" s="91">
        <v>83</v>
      </c>
      <c r="BF15" s="91" t="s">
        <v>1569</v>
      </c>
      <c r="BG15" s="91" t="s">
        <v>1569</v>
      </c>
      <c r="BH15" s="91" t="s">
        <v>1569</v>
      </c>
      <c r="BI15" s="91">
        <v>126</v>
      </c>
      <c r="BJ15" s="91" t="s">
        <v>1569</v>
      </c>
      <c r="BK15" s="91" t="s">
        <v>1569</v>
      </c>
      <c r="BL15" s="102"/>
    </row>
    <row r="16" spans="1:65" ht="15" customHeight="1" x14ac:dyDescent="0.15">
      <c r="B16" s="229" t="s">
        <v>2081</v>
      </c>
      <c r="C16" s="230"/>
      <c r="D16" s="230"/>
      <c r="E16" s="231"/>
      <c r="F16" s="218" t="s">
        <v>2082</v>
      </c>
      <c r="G16" s="232"/>
      <c r="H16" s="232"/>
      <c r="I16" s="232"/>
      <c r="J16" s="238" t="s">
        <v>2083</v>
      </c>
      <c r="K16" s="239"/>
      <c r="L16" s="240"/>
      <c r="N16" s="117"/>
      <c r="P16" s="118"/>
      <c r="Q16" s="118"/>
      <c r="R16" s="118"/>
      <c r="S16" s="119"/>
      <c r="AZ16" s="102">
        <v>16</v>
      </c>
      <c r="BA16" s="91" t="s">
        <v>1569</v>
      </c>
      <c r="BB16" s="91" t="s">
        <v>1569</v>
      </c>
      <c r="BC16" s="91" t="s">
        <v>1569</v>
      </c>
      <c r="BD16" s="91" t="s">
        <v>1569</v>
      </c>
      <c r="BE16" s="91" t="s">
        <v>1569</v>
      </c>
      <c r="BF16" s="91" t="s">
        <v>1569</v>
      </c>
      <c r="BG16" s="91" t="s">
        <v>1569</v>
      </c>
      <c r="BH16" s="91" t="s">
        <v>1569</v>
      </c>
      <c r="BI16" s="91" t="s">
        <v>1569</v>
      </c>
      <c r="BJ16" s="91" t="s">
        <v>1569</v>
      </c>
      <c r="BK16" s="91" t="s">
        <v>1569</v>
      </c>
      <c r="BL16" s="102"/>
    </row>
    <row r="17" spans="2:64" ht="9.9499999999999993" customHeight="1" x14ac:dyDescent="0.15">
      <c r="B17" s="125"/>
      <c r="C17" s="125"/>
      <c r="D17" s="125"/>
      <c r="E17" s="125"/>
      <c r="F17" s="126"/>
      <c r="G17" s="126"/>
      <c r="H17" s="126"/>
      <c r="I17" s="126"/>
      <c r="J17" s="126"/>
      <c r="K17" s="126"/>
      <c r="L17" s="126"/>
      <c r="N17" s="117"/>
      <c r="P17" s="118"/>
      <c r="Q17" s="118"/>
      <c r="R17" s="118"/>
      <c r="S17" s="119"/>
      <c r="AZ17" s="102">
        <v>17</v>
      </c>
      <c r="BA17" s="91" t="s">
        <v>1569</v>
      </c>
      <c r="BB17" s="91" t="s">
        <v>1569</v>
      </c>
      <c r="BC17" s="91" t="s">
        <v>1569</v>
      </c>
      <c r="BD17" s="91" t="s">
        <v>1569</v>
      </c>
      <c r="BE17" s="91" t="s">
        <v>1569</v>
      </c>
      <c r="BF17" s="91" t="s">
        <v>1569</v>
      </c>
      <c r="BG17" s="91" t="s">
        <v>1569</v>
      </c>
      <c r="BH17" s="91" t="s">
        <v>1569</v>
      </c>
      <c r="BI17" s="91" t="s">
        <v>1569</v>
      </c>
      <c r="BJ17" s="91" t="s">
        <v>1569</v>
      </c>
      <c r="BK17" s="91" t="s">
        <v>1569</v>
      </c>
      <c r="BL17" s="102"/>
    </row>
    <row r="18" spans="2:64" ht="15" customHeight="1" x14ac:dyDescent="0.15">
      <c r="B18" s="221" t="str">
        <f>VLOOKUP(BA18,trad_termini,ID_lingua,FALSE)</f>
        <v>Customer Order</v>
      </c>
      <c r="C18" s="221"/>
      <c r="D18" s="221"/>
      <c r="E18" s="91" t="str">
        <f>VLOOKUP(BD18,trad_termini,ID_lingua,FALSE)</f>
        <v>Date</v>
      </c>
      <c r="G18" s="221" t="str">
        <f>VLOOKUP(BF18,trad_termini,ID_lingua,FALSE)</f>
        <v>Internal Order Confirmation</v>
      </c>
      <c r="H18" s="221"/>
      <c r="I18" s="91" t="str">
        <f>VLOOKUP(BH18,trad_termini,ID_lingua,FALSE)</f>
        <v>Date</v>
      </c>
      <c r="L18" s="91" t="str">
        <f>VLOOKUP(BK18,trad_termini,ID_lingua,FALSE)</f>
        <v>Record File</v>
      </c>
      <c r="N18" s="117"/>
      <c r="P18" s="118"/>
      <c r="Q18" s="118"/>
      <c r="R18" s="118"/>
      <c r="S18" s="119"/>
      <c r="AZ18" s="102">
        <v>18</v>
      </c>
      <c r="BA18" s="91">
        <v>114</v>
      </c>
      <c r="BB18" s="91" t="s">
        <v>1569</v>
      </c>
      <c r="BC18" s="91" t="s">
        <v>1569</v>
      </c>
      <c r="BD18" s="91">
        <v>48</v>
      </c>
      <c r="BE18" s="91" t="s">
        <v>1569</v>
      </c>
      <c r="BF18" s="91">
        <v>31</v>
      </c>
      <c r="BG18" s="91" t="s">
        <v>1569</v>
      </c>
      <c r="BH18" s="91">
        <v>48</v>
      </c>
      <c r="BI18" s="91" t="s">
        <v>1569</v>
      </c>
      <c r="BJ18" s="91" t="s">
        <v>1569</v>
      </c>
      <c r="BK18" s="91">
        <v>65</v>
      </c>
      <c r="BL18" s="102"/>
    </row>
    <row r="19" spans="2:64" ht="15" customHeight="1" x14ac:dyDescent="0.15">
      <c r="B19" s="228" t="s">
        <v>2086</v>
      </c>
      <c r="C19" s="228"/>
      <c r="D19" s="228"/>
      <c r="E19" s="127">
        <v>45742</v>
      </c>
      <c r="G19" s="218" t="s">
        <v>2085</v>
      </c>
      <c r="H19" s="218"/>
      <c r="I19" s="127">
        <v>45742</v>
      </c>
      <c r="K19" s="241" t="s">
        <v>2084</v>
      </c>
      <c r="L19" s="242"/>
      <c r="N19" s="117"/>
      <c r="P19" s="118"/>
      <c r="Q19" s="118"/>
      <c r="R19" s="118"/>
      <c r="S19" s="119"/>
      <c r="AZ19" s="102">
        <v>19</v>
      </c>
      <c r="BA19" s="91" t="s">
        <v>1569</v>
      </c>
      <c r="BB19" s="91" t="s">
        <v>1569</v>
      </c>
      <c r="BC19" s="91" t="s">
        <v>1569</v>
      </c>
      <c r="BD19" s="91" t="s">
        <v>1569</v>
      </c>
      <c r="BE19" s="91" t="s">
        <v>1569</v>
      </c>
      <c r="BF19" s="91" t="s">
        <v>1569</v>
      </c>
      <c r="BG19" s="91" t="s">
        <v>1569</v>
      </c>
      <c r="BH19" s="91" t="s">
        <v>1569</v>
      </c>
      <c r="BI19" s="91" t="s">
        <v>1569</v>
      </c>
      <c r="BJ19" s="91" t="s">
        <v>1569</v>
      </c>
      <c r="BK19" s="91" t="s">
        <v>1569</v>
      </c>
      <c r="BL19" s="102"/>
    </row>
    <row r="20" spans="2:64" ht="9.9499999999999993" customHeight="1" x14ac:dyDescent="0.15">
      <c r="N20" s="117"/>
      <c r="P20" s="118"/>
      <c r="Q20" s="118"/>
      <c r="R20" s="118"/>
      <c r="S20" s="119"/>
      <c r="AZ20" s="102">
        <v>20</v>
      </c>
      <c r="BA20" s="91" t="s">
        <v>1569</v>
      </c>
      <c r="BB20" s="91" t="s">
        <v>1569</v>
      </c>
      <c r="BC20" s="91" t="s">
        <v>1569</v>
      </c>
      <c r="BD20" s="91" t="s">
        <v>1569</v>
      </c>
      <c r="BE20" s="91" t="s">
        <v>1569</v>
      </c>
      <c r="BF20" s="91" t="s">
        <v>1569</v>
      </c>
      <c r="BG20" s="91" t="s">
        <v>1569</v>
      </c>
      <c r="BH20" s="91" t="s">
        <v>1569</v>
      </c>
      <c r="BI20" s="91" t="s">
        <v>1569</v>
      </c>
      <c r="BJ20" s="91" t="s">
        <v>1569</v>
      </c>
      <c r="BK20" s="91" t="s">
        <v>1569</v>
      </c>
      <c r="BL20" s="102"/>
    </row>
    <row r="21" spans="2:64" ht="15" customHeight="1" x14ac:dyDescent="0.15">
      <c r="B21" s="237" t="s">
        <v>34</v>
      </c>
      <c r="C21" s="237"/>
      <c r="D21" s="237"/>
      <c r="E21" s="237" t="s">
        <v>35</v>
      </c>
      <c r="F21" s="237"/>
      <c r="G21" s="237"/>
      <c r="N21" s="117"/>
      <c r="P21" s="118"/>
      <c r="Q21" s="118"/>
      <c r="R21" s="118"/>
      <c r="S21" s="119"/>
      <c r="AZ21" s="102">
        <v>21</v>
      </c>
      <c r="BA21" s="91">
        <v>94</v>
      </c>
      <c r="BB21" s="91" t="s">
        <v>1569</v>
      </c>
      <c r="BC21" s="91" t="s">
        <v>1569</v>
      </c>
      <c r="BD21" s="91" t="s">
        <v>1569</v>
      </c>
      <c r="BE21" s="91" t="s">
        <v>1569</v>
      </c>
      <c r="BF21" s="91" t="s">
        <v>1569</v>
      </c>
      <c r="BG21" s="91" t="s">
        <v>1569</v>
      </c>
      <c r="BH21" s="91" t="s">
        <v>1569</v>
      </c>
      <c r="BI21" s="91" t="s">
        <v>1569</v>
      </c>
      <c r="BJ21" s="91" t="s">
        <v>1569</v>
      </c>
      <c r="BK21" s="91" t="s">
        <v>1569</v>
      </c>
      <c r="BL21" s="102"/>
    </row>
    <row r="22" spans="2:64" ht="15" customHeight="1" x14ac:dyDescent="0.15">
      <c r="B22" s="188" t="str">
        <f>VLOOKUP(BA22,trad_termini,ID_lingua,FALSE)</f>
        <v>Drawing</v>
      </c>
      <c r="C22" s="188"/>
      <c r="D22" s="91" t="str">
        <f>VLOOKUP(BC22,trad_termini,ID_lingua,FALSE)</f>
        <v>Rev.</v>
      </c>
      <c r="E22" s="193" t="s">
        <v>37</v>
      </c>
      <c r="F22" s="193"/>
      <c r="G22" s="91" t="str">
        <f>VLOOKUP(BF22,trad_termini,ID_lingua,FALSE)</f>
        <v>Rev.</v>
      </c>
      <c r="I22" s="91" t="str">
        <f>VLOOKUP(BH22,trad_termini,ID_lingua,FALSE)</f>
        <v>Arrangement</v>
      </c>
      <c r="L22" s="91" t="str">
        <f>VLOOKUP(BK22,trad_termini,ID_lingua,FALSE)</f>
        <v>Mfg. Year</v>
      </c>
      <c r="N22" s="117"/>
      <c r="P22" s="118"/>
      <c r="Q22" s="118"/>
      <c r="R22" s="118"/>
      <c r="S22" s="119"/>
      <c r="AB22" s="130"/>
      <c r="AC22" s="130"/>
      <c r="AD22" s="130"/>
      <c r="AE22" s="130"/>
      <c r="AF22" s="130"/>
      <c r="AZ22" s="102">
        <v>22</v>
      </c>
      <c r="BA22" s="91">
        <v>57</v>
      </c>
      <c r="BB22" s="91" t="s">
        <v>1569</v>
      </c>
      <c r="BC22" s="91">
        <v>133</v>
      </c>
      <c r="BD22" s="91" t="s">
        <v>1569</v>
      </c>
      <c r="BE22" s="91" t="s">
        <v>1569</v>
      </c>
      <c r="BF22" s="91">
        <v>133</v>
      </c>
      <c r="BG22" s="91" t="s">
        <v>1569</v>
      </c>
      <c r="BH22" s="91">
        <v>6</v>
      </c>
      <c r="BI22" s="91" t="s">
        <v>1569</v>
      </c>
      <c r="BJ22" s="91" t="s">
        <v>1569</v>
      </c>
      <c r="BK22" s="91">
        <v>8</v>
      </c>
      <c r="BL22" s="102"/>
    </row>
    <row r="23" spans="2:64" ht="15" customHeight="1" x14ac:dyDescent="0.15">
      <c r="B23" s="218" t="s">
        <v>40</v>
      </c>
      <c r="C23" s="218"/>
      <c r="D23" s="131" t="s">
        <v>40</v>
      </c>
      <c r="E23" s="218" t="s">
        <v>40</v>
      </c>
      <c r="F23" s="218"/>
      <c r="G23" s="131" t="s">
        <v>40</v>
      </c>
      <c r="I23" s="75" t="s">
        <v>52</v>
      </c>
      <c r="L23" s="76">
        <v>2025</v>
      </c>
      <c r="N23" s="124" t="str">
        <f>IF(cfg="ATEX",VLOOKUP(BL23,trad_termini,ID_lingua,FALSE),"")</f>
        <v>&gt;&gt;&gt; GO TO SHEET 2</v>
      </c>
      <c r="P23" s="118"/>
      <c r="Q23" s="118"/>
      <c r="R23" s="118"/>
      <c r="S23" s="119"/>
      <c r="AC23" s="132"/>
      <c r="AD23" s="132"/>
      <c r="AE23" s="132"/>
      <c r="AF23" s="132"/>
      <c r="AZ23" s="102">
        <v>23</v>
      </c>
      <c r="BA23" s="91" t="s">
        <v>1569</v>
      </c>
      <c r="BB23" s="91" t="s">
        <v>1569</v>
      </c>
      <c r="BC23" s="91" t="s">
        <v>1569</v>
      </c>
      <c r="BD23" s="91" t="s">
        <v>1569</v>
      </c>
      <c r="BE23" s="91" t="s">
        <v>1569</v>
      </c>
      <c r="BF23" s="91" t="s">
        <v>1569</v>
      </c>
      <c r="BG23" s="91" t="s">
        <v>1569</v>
      </c>
      <c r="BH23" s="91" t="s">
        <v>1569</v>
      </c>
      <c r="BI23" s="91" t="s">
        <v>1569</v>
      </c>
      <c r="BJ23" s="91" t="s">
        <v>1569</v>
      </c>
      <c r="BK23" s="91" t="s">
        <v>1569</v>
      </c>
      <c r="BL23" s="102" t="s">
        <v>1940</v>
      </c>
    </row>
    <row r="24" spans="2:64" ht="9.9499999999999993" customHeight="1" x14ac:dyDescent="0.15">
      <c r="B24" s="132"/>
      <c r="C24" s="132"/>
      <c r="D24" s="132"/>
      <c r="E24" s="132"/>
      <c r="F24" s="132"/>
      <c r="H24" s="125"/>
      <c r="I24" s="125"/>
      <c r="J24" s="132"/>
      <c r="K24" s="125"/>
      <c r="L24" s="125"/>
      <c r="N24" s="117"/>
      <c r="P24" s="118"/>
      <c r="Q24" s="118"/>
      <c r="R24" s="118"/>
      <c r="S24" s="119"/>
      <c r="AZ24" s="102">
        <v>24</v>
      </c>
      <c r="BA24" s="91" t="s">
        <v>1569</v>
      </c>
      <c r="BB24" s="91" t="s">
        <v>1569</v>
      </c>
      <c r="BC24" s="91" t="s">
        <v>1569</v>
      </c>
      <c r="BD24" s="91" t="s">
        <v>1569</v>
      </c>
      <c r="BE24" s="91" t="s">
        <v>1569</v>
      </c>
      <c r="BF24" s="91" t="s">
        <v>1569</v>
      </c>
      <c r="BG24" s="91" t="s">
        <v>1569</v>
      </c>
      <c r="BH24" s="91" t="s">
        <v>1569</v>
      </c>
      <c r="BI24" s="91" t="s">
        <v>1569</v>
      </c>
      <c r="BJ24" s="91" t="s">
        <v>1569</v>
      </c>
      <c r="BK24" s="91" t="s">
        <v>1569</v>
      </c>
      <c r="BL24" s="102"/>
    </row>
    <row r="25" spans="2:64" ht="15" customHeight="1" x14ac:dyDescent="0.15">
      <c r="B25" s="121" t="str">
        <f>VLOOKUP(BA25,trad_termini,ID_lingua,FALSE)</f>
        <v>Document Revisions</v>
      </c>
      <c r="C25" s="132"/>
      <c r="D25" s="132"/>
      <c r="E25" s="132"/>
      <c r="F25" s="132"/>
      <c r="H25" s="125"/>
      <c r="I25" s="125"/>
      <c r="J25" s="132"/>
      <c r="K25" s="125"/>
      <c r="L25" s="125"/>
      <c r="N25" s="117"/>
      <c r="P25" s="118"/>
      <c r="Q25" s="118"/>
      <c r="R25" s="118"/>
      <c r="S25" s="119"/>
      <c r="AZ25" s="102">
        <v>25</v>
      </c>
      <c r="BA25" s="91">
        <v>135</v>
      </c>
      <c r="BB25" s="91" t="s">
        <v>1569</v>
      </c>
      <c r="BC25" s="91" t="s">
        <v>1569</v>
      </c>
      <c r="BD25" s="91" t="s">
        <v>1569</v>
      </c>
      <c r="BE25" s="91" t="s">
        <v>1569</v>
      </c>
      <c r="BF25" s="91" t="s">
        <v>1569</v>
      </c>
      <c r="BG25" s="91" t="s">
        <v>1569</v>
      </c>
      <c r="BH25" s="91" t="s">
        <v>1569</v>
      </c>
      <c r="BI25" s="91" t="s">
        <v>1569</v>
      </c>
      <c r="BJ25" s="91" t="s">
        <v>1569</v>
      </c>
      <c r="BK25" s="91" t="s">
        <v>1569</v>
      </c>
      <c r="BL25" s="102"/>
    </row>
    <row r="26" spans="2:64" ht="15" customHeight="1" x14ac:dyDescent="0.15">
      <c r="B26" s="132" t="str">
        <f>VLOOKUP(BA26,trad_termini,ID_lingua,FALSE)</f>
        <v>Rev.</v>
      </c>
      <c r="C26" s="132" t="str">
        <f>VLOOKUP(BB26,trad_termini,ID_lingua,FALSE)</f>
        <v>Date</v>
      </c>
      <c r="D26" s="219" t="str">
        <f>VLOOKUP(BC26,trad_termini,ID_lingua,FALSE)</f>
        <v>Subject</v>
      </c>
      <c r="E26" s="219"/>
      <c r="F26" s="219"/>
      <c r="G26" s="219"/>
      <c r="H26" s="219"/>
      <c r="I26" s="219"/>
      <c r="J26" s="219"/>
      <c r="K26" s="219"/>
      <c r="L26" s="219"/>
      <c r="N26" s="117"/>
      <c r="P26" s="118"/>
      <c r="Q26" s="118"/>
      <c r="R26" s="118"/>
      <c r="S26" s="119"/>
      <c r="AZ26" s="102">
        <v>26</v>
      </c>
      <c r="BA26" s="91">
        <v>133</v>
      </c>
      <c r="BB26" s="91">
        <v>48</v>
      </c>
      <c r="BC26" s="91">
        <v>113</v>
      </c>
      <c r="BD26" s="91" t="s">
        <v>1569</v>
      </c>
      <c r="BE26" s="91" t="s">
        <v>1569</v>
      </c>
      <c r="BF26" s="91" t="s">
        <v>1569</v>
      </c>
      <c r="BG26" s="91" t="s">
        <v>1569</v>
      </c>
      <c r="BH26" s="91" t="s">
        <v>1569</v>
      </c>
      <c r="BI26" s="91" t="s">
        <v>1569</v>
      </c>
      <c r="BJ26" s="91" t="s">
        <v>1569</v>
      </c>
      <c r="BK26" s="91" t="s">
        <v>1569</v>
      </c>
      <c r="BL26" s="102"/>
    </row>
    <row r="27" spans="2:64" ht="15" customHeight="1" x14ac:dyDescent="0.15">
      <c r="B27" s="133">
        <v>1</v>
      </c>
      <c r="C27" s="127" t="s">
        <v>40</v>
      </c>
      <c r="D27" s="220"/>
      <c r="E27" s="220"/>
      <c r="F27" s="220"/>
      <c r="G27" s="220"/>
      <c r="H27" s="220"/>
      <c r="I27" s="220"/>
      <c r="J27" s="220"/>
      <c r="K27" s="220"/>
      <c r="L27" s="220"/>
      <c r="N27" s="117"/>
      <c r="P27" s="118"/>
      <c r="Q27" s="118"/>
      <c r="R27" s="118">
        <f>IF(D27&lt;&gt;"",1,0)</f>
        <v>0</v>
      </c>
      <c r="S27" s="119"/>
      <c r="AZ27" s="102">
        <v>27</v>
      </c>
      <c r="BA27" s="91" t="s">
        <v>1569</v>
      </c>
      <c r="BB27" s="91" t="s">
        <v>1569</v>
      </c>
      <c r="BC27" s="91" t="s">
        <v>1569</v>
      </c>
      <c r="BD27" s="91" t="s">
        <v>1569</v>
      </c>
      <c r="BE27" s="91" t="s">
        <v>1569</v>
      </c>
      <c r="BF27" s="91" t="s">
        <v>1569</v>
      </c>
      <c r="BG27" s="91" t="s">
        <v>1569</v>
      </c>
      <c r="BH27" s="91" t="s">
        <v>1569</v>
      </c>
      <c r="BI27" s="91" t="s">
        <v>1569</v>
      </c>
      <c r="BJ27" s="91" t="s">
        <v>1569</v>
      </c>
      <c r="BK27" s="91" t="s">
        <v>1569</v>
      </c>
      <c r="BL27" s="102"/>
    </row>
    <row r="28" spans="2:64" ht="15" customHeight="1" x14ac:dyDescent="0.15">
      <c r="B28" s="133">
        <v>2</v>
      </c>
      <c r="C28" s="127" t="s">
        <v>40</v>
      </c>
      <c r="D28" s="220"/>
      <c r="E28" s="220"/>
      <c r="F28" s="220"/>
      <c r="G28" s="220"/>
      <c r="H28" s="220"/>
      <c r="I28" s="220"/>
      <c r="J28" s="220"/>
      <c r="K28" s="220"/>
      <c r="L28" s="220"/>
      <c r="N28" s="117"/>
      <c r="P28" s="118"/>
      <c r="Q28" s="118"/>
      <c r="R28" s="118">
        <f>IF(D28&lt;&gt;"",1,0)</f>
        <v>0</v>
      </c>
      <c r="S28" s="119"/>
      <c r="AZ28" s="102">
        <v>28</v>
      </c>
      <c r="BA28" s="91" t="s">
        <v>1569</v>
      </c>
      <c r="BB28" s="91" t="s">
        <v>1569</v>
      </c>
      <c r="BC28" s="91" t="s">
        <v>1569</v>
      </c>
      <c r="BD28" s="91" t="s">
        <v>1569</v>
      </c>
      <c r="BE28" s="91" t="s">
        <v>1569</v>
      </c>
      <c r="BF28" s="91" t="s">
        <v>1569</v>
      </c>
      <c r="BG28" s="91" t="s">
        <v>1569</v>
      </c>
      <c r="BH28" s="91" t="s">
        <v>1569</v>
      </c>
      <c r="BI28" s="91" t="s">
        <v>1569</v>
      </c>
      <c r="BJ28" s="91" t="s">
        <v>1569</v>
      </c>
      <c r="BK28" s="91" t="s">
        <v>1569</v>
      </c>
      <c r="BL28" s="102"/>
    </row>
    <row r="29" spans="2:64" ht="15" customHeight="1" x14ac:dyDescent="0.15">
      <c r="B29" s="133">
        <v>3</v>
      </c>
      <c r="C29" s="127" t="s">
        <v>40</v>
      </c>
      <c r="D29" s="220"/>
      <c r="E29" s="220"/>
      <c r="F29" s="220"/>
      <c r="G29" s="220"/>
      <c r="H29" s="220"/>
      <c r="I29" s="220"/>
      <c r="J29" s="220"/>
      <c r="K29" s="220"/>
      <c r="L29" s="220"/>
      <c r="N29" s="117"/>
      <c r="P29" s="118"/>
      <c r="Q29" s="118"/>
      <c r="R29" s="118">
        <f>IF(D29&lt;&gt;"",1,0)</f>
        <v>0</v>
      </c>
      <c r="S29" s="119"/>
      <c r="AZ29" s="102">
        <v>29</v>
      </c>
      <c r="BA29" s="91" t="s">
        <v>1569</v>
      </c>
      <c r="BB29" s="91" t="s">
        <v>1569</v>
      </c>
      <c r="BC29" s="91" t="s">
        <v>1569</v>
      </c>
      <c r="BD29" s="91" t="s">
        <v>1569</v>
      </c>
      <c r="BE29" s="91" t="s">
        <v>1569</v>
      </c>
      <c r="BF29" s="91" t="s">
        <v>1569</v>
      </c>
      <c r="BG29" s="91" t="s">
        <v>1569</v>
      </c>
      <c r="BH29" s="91" t="s">
        <v>1569</v>
      </c>
      <c r="BI29" s="91" t="s">
        <v>1569</v>
      </c>
      <c r="BJ29" s="91" t="s">
        <v>1569</v>
      </c>
      <c r="BK29" s="91" t="s">
        <v>1569</v>
      </c>
      <c r="BL29" s="102"/>
    </row>
    <row r="30" spans="2:64" ht="15" customHeight="1" x14ac:dyDescent="0.15">
      <c r="B30" s="133">
        <v>4</v>
      </c>
      <c r="C30" s="127" t="s">
        <v>40</v>
      </c>
      <c r="D30" s="220"/>
      <c r="E30" s="220"/>
      <c r="F30" s="220"/>
      <c r="G30" s="220"/>
      <c r="H30" s="220"/>
      <c r="I30" s="220"/>
      <c r="J30" s="220"/>
      <c r="K30" s="220"/>
      <c r="L30" s="220"/>
      <c r="N30" s="117"/>
      <c r="P30" s="118"/>
      <c r="Q30" s="118"/>
      <c r="R30" s="118">
        <f>IF(D30&lt;&gt;"",1,0)</f>
        <v>0</v>
      </c>
      <c r="S30" s="119"/>
      <c r="AZ30" s="102">
        <v>30</v>
      </c>
      <c r="BA30" s="91" t="s">
        <v>1569</v>
      </c>
      <c r="BB30" s="91" t="s">
        <v>1569</v>
      </c>
      <c r="BC30" s="91" t="s">
        <v>1569</v>
      </c>
      <c r="BD30" s="91" t="s">
        <v>1569</v>
      </c>
      <c r="BE30" s="91" t="s">
        <v>1569</v>
      </c>
      <c r="BF30" s="91" t="s">
        <v>1569</v>
      </c>
      <c r="BG30" s="91" t="s">
        <v>1569</v>
      </c>
      <c r="BH30" s="91" t="s">
        <v>1569</v>
      </c>
      <c r="BI30" s="91" t="s">
        <v>1569</v>
      </c>
      <c r="BJ30" s="91" t="s">
        <v>1569</v>
      </c>
      <c r="BK30" s="91" t="s">
        <v>1569</v>
      </c>
      <c r="BL30" s="102"/>
    </row>
    <row r="31" spans="2:64" ht="15" customHeight="1" x14ac:dyDescent="0.15">
      <c r="B31" s="133">
        <v>5</v>
      </c>
      <c r="C31" s="127" t="s">
        <v>40</v>
      </c>
      <c r="D31" s="220"/>
      <c r="E31" s="220"/>
      <c r="F31" s="220"/>
      <c r="G31" s="220"/>
      <c r="H31" s="220"/>
      <c r="I31" s="220"/>
      <c r="J31" s="220"/>
      <c r="K31" s="220"/>
      <c r="L31" s="220"/>
      <c r="N31" s="117"/>
      <c r="P31" s="118"/>
      <c r="Q31" s="118"/>
      <c r="R31" s="118">
        <f>IF(D31&lt;&gt;"",1,0)</f>
        <v>0</v>
      </c>
      <c r="S31" s="119"/>
      <c r="AZ31" s="102">
        <v>31</v>
      </c>
      <c r="BA31" s="91" t="s">
        <v>1569</v>
      </c>
      <c r="BB31" s="91" t="s">
        <v>1569</v>
      </c>
      <c r="BC31" s="91" t="s">
        <v>1569</v>
      </c>
      <c r="BD31" s="91" t="s">
        <v>1569</v>
      </c>
      <c r="BE31" s="91" t="s">
        <v>1569</v>
      </c>
      <c r="BF31" s="91" t="s">
        <v>1569</v>
      </c>
      <c r="BG31" s="91" t="s">
        <v>1569</v>
      </c>
      <c r="BH31" s="91" t="s">
        <v>1569</v>
      </c>
      <c r="BI31" s="91" t="s">
        <v>1569</v>
      </c>
      <c r="BJ31" s="91" t="s">
        <v>1569</v>
      </c>
      <c r="BK31" s="91" t="s">
        <v>1569</v>
      </c>
      <c r="BL31" s="102"/>
    </row>
    <row r="32" spans="2:64" ht="9.9499999999999993" customHeight="1" x14ac:dyDescent="0.15">
      <c r="B32" s="132"/>
      <c r="C32" s="132"/>
      <c r="D32" s="132"/>
      <c r="E32" s="132"/>
      <c r="F32" s="132"/>
      <c r="H32" s="125"/>
      <c r="I32" s="125"/>
      <c r="J32" s="132"/>
      <c r="K32" s="125"/>
      <c r="L32" s="125"/>
      <c r="N32" s="117"/>
      <c r="P32" s="118"/>
      <c r="Q32" s="118"/>
      <c r="R32" s="118"/>
      <c r="S32" s="119"/>
      <c r="AZ32" s="102">
        <v>32</v>
      </c>
      <c r="BA32" s="91" t="s">
        <v>1569</v>
      </c>
      <c r="BB32" s="91" t="s">
        <v>1569</v>
      </c>
      <c r="BC32" s="91" t="s">
        <v>1569</v>
      </c>
      <c r="BD32" s="91" t="s">
        <v>1569</v>
      </c>
      <c r="BE32" s="91" t="s">
        <v>1569</v>
      </c>
      <c r="BF32" s="91" t="s">
        <v>1569</v>
      </c>
      <c r="BG32" s="91" t="s">
        <v>1569</v>
      </c>
      <c r="BH32" s="91" t="s">
        <v>1569</v>
      </c>
      <c r="BI32" s="91" t="s">
        <v>1569</v>
      </c>
      <c r="BJ32" s="91" t="s">
        <v>1569</v>
      </c>
      <c r="BK32" s="91" t="s">
        <v>1569</v>
      </c>
      <c r="BL32" s="102"/>
    </row>
    <row r="33" spans="2:64" ht="15" customHeight="1" x14ac:dyDescent="0.15">
      <c r="B33" s="221" t="str">
        <f>VLOOKUP(BA33,trad_termini,ID_lingua,FALSE)</f>
        <v>Description</v>
      </c>
      <c r="C33" s="221"/>
      <c r="D33" s="221"/>
      <c r="E33" s="221"/>
      <c r="F33" s="221"/>
      <c r="G33" s="221"/>
      <c r="H33" s="221"/>
      <c r="I33" s="221"/>
      <c r="J33" s="221"/>
      <c r="K33" s="221"/>
      <c r="L33" s="221"/>
      <c r="N33" s="117"/>
      <c r="P33" s="118"/>
      <c r="Q33" s="118"/>
      <c r="R33" s="118"/>
      <c r="S33" s="119"/>
      <c r="AZ33" s="102">
        <v>33</v>
      </c>
      <c r="BA33" s="91">
        <v>53</v>
      </c>
      <c r="BB33" s="91" t="s">
        <v>1569</v>
      </c>
      <c r="BC33" s="91" t="s">
        <v>1569</v>
      </c>
      <c r="BD33" s="91" t="s">
        <v>1569</v>
      </c>
      <c r="BE33" s="91" t="s">
        <v>1569</v>
      </c>
      <c r="BF33" s="91" t="s">
        <v>1569</v>
      </c>
      <c r="BG33" s="91" t="s">
        <v>1569</v>
      </c>
      <c r="BH33" s="91" t="s">
        <v>1569</v>
      </c>
      <c r="BI33" s="91" t="s">
        <v>1569</v>
      </c>
      <c r="BJ33" s="91" t="s">
        <v>1569</v>
      </c>
      <c r="BK33" s="91" t="s">
        <v>1569</v>
      </c>
      <c r="BL33" s="102"/>
    </row>
    <row r="34" spans="2:64" ht="15" customHeight="1" x14ac:dyDescent="0.15">
      <c r="B34" s="243"/>
      <c r="C34" s="244"/>
      <c r="D34" s="244"/>
      <c r="E34" s="244"/>
      <c r="F34" s="244"/>
      <c r="G34" s="244"/>
      <c r="H34" s="244"/>
      <c r="I34" s="244"/>
      <c r="J34" s="244"/>
      <c r="K34" s="244"/>
      <c r="L34" s="245"/>
      <c r="N34" s="117"/>
      <c r="P34" s="118"/>
      <c r="Q34" s="118"/>
      <c r="R34" s="118"/>
      <c r="S34" s="119"/>
      <c r="AZ34" s="102">
        <v>34</v>
      </c>
      <c r="BA34" s="91" t="s">
        <v>1569</v>
      </c>
      <c r="BB34" s="91" t="s">
        <v>1569</v>
      </c>
      <c r="BC34" s="91" t="s">
        <v>1569</v>
      </c>
      <c r="BD34" s="91" t="s">
        <v>1569</v>
      </c>
      <c r="BE34" s="91" t="s">
        <v>1569</v>
      </c>
      <c r="BF34" s="91" t="s">
        <v>1569</v>
      </c>
      <c r="BG34" s="91" t="s">
        <v>1569</v>
      </c>
      <c r="BH34" s="91" t="s">
        <v>1569</v>
      </c>
      <c r="BI34" s="91" t="s">
        <v>1569</v>
      </c>
      <c r="BJ34" s="91" t="s">
        <v>1569</v>
      </c>
      <c r="BK34" s="91" t="s">
        <v>1569</v>
      </c>
      <c r="BL34" s="102"/>
    </row>
    <row r="35" spans="2:64" ht="15" customHeight="1" x14ac:dyDescent="0.15">
      <c r="N35" s="117"/>
      <c r="P35" s="118"/>
      <c r="Q35" s="118"/>
      <c r="R35" s="118"/>
      <c r="S35" s="119"/>
      <c r="AZ35" s="102">
        <v>35</v>
      </c>
      <c r="BA35" s="91" t="s">
        <v>1569</v>
      </c>
      <c r="BB35" s="91" t="s">
        <v>1569</v>
      </c>
      <c r="BC35" s="91" t="s">
        <v>1569</v>
      </c>
      <c r="BD35" s="91" t="s">
        <v>1569</v>
      </c>
      <c r="BE35" s="91" t="s">
        <v>1569</v>
      </c>
      <c r="BF35" s="91" t="s">
        <v>1569</v>
      </c>
      <c r="BG35" s="91" t="s">
        <v>1569</v>
      </c>
      <c r="BH35" s="91" t="s">
        <v>1569</v>
      </c>
      <c r="BI35" s="91" t="s">
        <v>1569</v>
      </c>
      <c r="BJ35" s="91" t="s">
        <v>1569</v>
      </c>
      <c r="BK35" s="91" t="s">
        <v>1569</v>
      </c>
      <c r="BL35" s="102"/>
    </row>
    <row r="36" spans="2:64" ht="15" customHeight="1" x14ac:dyDescent="0.15">
      <c r="B36" s="221" t="str">
        <f>VLOOKUP(BA36,trad_termini,ID_lingua,FALSE)</f>
        <v>Conveyed Product</v>
      </c>
      <c r="C36" s="221"/>
      <c r="D36" s="221"/>
      <c r="E36" s="106" t="str">
        <f>VLOOKUP(BD36,trad_termini,ID_lingua,FALSE)</f>
        <v>Moisture</v>
      </c>
      <c r="F36" s="106" t="str">
        <f>VLOOKUP(BE36,trad_termini,ID_lingua,FALSE)</f>
        <v>BD Density</v>
      </c>
      <c r="G36" s="221" t="str">
        <f>VLOOKUP(BF36,trad_termini,ID_lingua,FALSE)</f>
        <v>Capacity</v>
      </c>
      <c r="H36" s="221"/>
      <c r="K36" s="106" t="str">
        <f>VLOOKUP(BJ36,trad_termini,ID_lingua,FALSE)</f>
        <v>Conv. Speed</v>
      </c>
      <c r="N36" s="117"/>
      <c r="P36" s="118"/>
      <c r="Q36" s="118"/>
      <c r="R36" s="118"/>
      <c r="S36" s="119"/>
      <c r="Z36" s="91"/>
      <c r="AA36" s="91"/>
      <c r="AB36" s="91"/>
      <c r="AZ36" s="102">
        <v>36</v>
      </c>
      <c r="BA36" s="91">
        <v>104</v>
      </c>
      <c r="BB36" s="91" t="s">
        <v>1569</v>
      </c>
      <c r="BC36" s="91" t="s">
        <v>1569</v>
      </c>
      <c r="BD36" s="91">
        <v>175</v>
      </c>
      <c r="BE36" s="91">
        <v>52</v>
      </c>
      <c r="BF36" s="91">
        <v>125</v>
      </c>
      <c r="BG36" s="91" t="s">
        <v>1569</v>
      </c>
      <c r="BH36" s="91" t="s">
        <v>1569</v>
      </c>
      <c r="BI36" s="91" t="s">
        <v>1569</v>
      </c>
      <c r="BJ36" s="91">
        <v>176</v>
      </c>
      <c r="BK36" s="91" t="s">
        <v>1569</v>
      </c>
      <c r="BL36" s="102"/>
    </row>
    <row r="37" spans="2:64" ht="15" customHeight="1" x14ac:dyDescent="0.15">
      <c r="B37" s="193" t="s">
        <v>46</v>
      </c>
      <c r="C37" s="193"/>
      <c r="D37" s="193"/>
      <c r="E37" s="91" t="s">
        <v>47</v>
      </c>
      <c r="F37" s="134" t="s">
        <v>48</v>
      </c>
      <c r="G37" s="134" t="s">
        <v>49</v>
      </c>
      <c r="H37" s="134" t="s">
        <v>50</v>
      </c>
      <c r="K37" s="91" t="s">
        <v>455</v>
      </c>
      <c r="N37" s="117"/>
      <c r="P37" s="118"/>
      <c r="Q37" s="118"/>
      <c r="R37" s="118"/>
      <c r="S37" s="119"/>
      <c r="Z37" s="91"/>
      <c r="AA37" s="91"/>
      <c r="AB37" s="91"/>
      <c r="AZ37" s="102">
        <v>37</v>
      </c>
      <c r="BA37" s="91">
        <v>168</v>
      </c>
      <c r="BB37" s="91" t="s">
        <v>1569</v>
      </c>
      <c r="BC37" s="91" t="s">
        <v>1569</v>
      </c>
      <c r="BD37" s="91" t="s">
        <v>1569</v>
      </c>
      <c r="BE37" s="91" t="s">
        <v>1569</v>
      </c>
      <c r="BF37" s="91" t="s">
        <v>1569</v>
      </c>
      <c r="BG37" s="91" t="s">
        <v>1569</v>
      </c>
      <c r="BH37" s="91" t="s">
        <v>1569</v>
      </c>
      <c r="BI37" s="91" t="s">
        <v>1569</v>
      </c>
      <c r="BJ37" s="91" t="s">
        <v>1569</v>
      </c>
      <c r="BK37" s="91" t="s">
        <v>1569</v>
      </c>
      <c r="BL37" s="102"/>
    </row>
    <row r="38" spans="2:64" ht="15" customHeight="1" x14ac:dyDescent="0.15">
      <c r="B38" s="194" t="s">
        <v>2030</v>
      </c>
      <c r="C38" s="211"/>
      <c r="D38" s="195"/>
      <c r="E38" s="135">
        <v>43</v>
      </c>
      <c r="F38" s="75">
        <v>157.5</v>
      </c>
      <c r="G38" s="75">
        <v>253</v>
      </c>
      <c r="H38" s="136">
        <f>G38*F38/1000</f>
        <v>39.847499999999997</v>
      </c>
      <c r="K38" s="137">
        <f>IFERROR((2*PI()*n_rid/60)*(VLOOKUP(mod_base,comando_dati,4,FALSE)/1000/2)*IF(LEFT(mrid,1)="R",D67/D68,1),"-")</f>
        <v>0.38496795963134239</v>
      </c>
      <c r="N38" s="124" t="str">
        <f>IF(OR(v_trasp&lt;0.3,v_trasp&gt;0.5),VLOOKUP(BL38,trad_termini,ID_lingua,FALSE),"")</f>
        <v/>
      </c>
      <c r="P38" s="118"/>
      <c r="Q38" s="118"/>
      <c r="R38" s="118"/>
      <c r="S38" s="119"/>
      <c r="Z38" s="91"/>
      <c r="AA38" s="91"/>
      <c r="AB38" s="91"/>
      <c r="AZ38" s="102">
        <v>38</v>
      </c>
      <c r="BA38" s="138" t="s">
        <v>1569</v>
      </c>
      <c r="BB38" s="91" t="s">
        <v>1569</v>
      </c>
      <c r="BC38" s="91" t="s">
        <v>1569</v>
      </c>
      <c r="BD38" s="91" t="s">
        <v>1569</v>
      </c>
      <c r="BE38" s="91" t="s">
        <v>1569</v>
      </c>
      <c r="BF38" s="91" t="s">
        <v>1569</v>
      </c>
      <c r="BG38" s="91" t="s">
        <v>1569</v>
      </c>
      <c r="BH38" s="91" t="s">
        <v>1569</v>
      </c>
      <c r="BI38" s="91" t="s">
        <v>1569</v>
      </c>
      <c r="BJ38" s="91" t="s">
        <v>1569</v>
      </c>
      <c r="BK38" s="91" t="s">
        <v>1569</v>
      </c>
      <c r="BL38" s="102" t="s">
        <v>1943</v>
      </c>
    </row>
    <row r="39" spans="2:64" ht="15" customHeight="1" x14ac:dyDescent="0.15">
      <c r="N39" s="117"/>
      <c r="P39" s="118"/>
      <c r="Q39" s="118"/>
      <c r="R39" s="118"/>
      <c r="S39" s="119"/>
      <c r="Z39" s="91"/>
      <c r="AA39" s="91"/>
      <c r="AB39" s="91"/>
      <c r="AZ39" s="102">
        <v>39</v>
      </c>
      <c r="BA39" s="91" t="s">
        <v>1569</v>
      </c>
      <c r="BB39" s="91" t="s">
        <v>1569</v>
      </c>
      <c r="BC39" s="91" t="s">
        <v>1569</v>
      </c>
      <c r="BD39" s="91" t="s">
        <v>1569</v>
      </c>
      <c r="BE39" s="91" t="s">
        <v>1569</v>
      </c>
      <c r="BF39" s="91" t="s">
        <v>1569</v>
      </c>
      <c r="BG39" s="91" t="s">
        <v>1569</v>
      </c>
      <c r="BH39" s="91" t="s">
        <v>1569</v>
      </c>
      <c r="BI39" s="91" t="s">
        <v>1569</v>
      </c>
      <c r="BJ39" s="91" t="s">
        <v>1569</v>
      </c>
      <c r="BK39" s="91" t="s">
        <v>1569</v>
      </c>
      <c r="BL39" s="102"/>
    </row>
    <row r="40" spans="2:64" ht="15" customHeight="1" x14ac:dyDescent="0.15">
      <c r="B40" s="121" t="str">
        <f>VLOOKUP(BA40,trad_termini,ID_lingua,FALSE)</f>
        <v>Machine Setiup</v>
      </c>
      <c r="N40" s="117"/>
      <c r="P40" s="118"/>
      <c r="Q40" s="118"/>
      <c r="R40" s="118"/>
      <c r="S40" s="119"/>
      <c r="AB40" s="91"/>
      <c r="AZ40" s="102">
        <v>40</v>
      </c>
      <c r="BA40" s="91">
        <v>51</v>
      </c>
      <c r="BB40" s="91" t="s">
        <v>1569</v>
      </c>
      <c r="BC40" s="91" t="s">
        <v>1569</v>
      </c>
      <c r="BD40" s="91" t="s">
        <v>1569</v>
      </c>
      <c r="BE40" s="91" t="s">
        <v>1569</v>
      </c>
      <c r="BF40" s="91" t="s">
        <v>1569</v>
      </c>
      <c r="BG40" s="91" t="s">
        <v>1569</v>
      </c>
      <c r="BH40" s="91" t="s">
        <v>1569</v>
      </c>
      <c r="BI40" s="91" t="s">
        <v>1569</v>
      </c>
      <c r="BJ40" s="91" t="s">
        <v>1569</v>
      </c>
      <c r="BK40" s="91" t="s">
        <v>1569</v>
      </c>
      <c r="BL40" s="102"/>
    </row>
    <row r="41" spans="2:64" ht="15" customHeight="1" x14ac:dyDescent="0.15">
      <c r="B41" s="132" t="str">
        <f>VLOOKUP(BA41,trad_termini,ID_lingua,FALSE)</f>
        <v>Width</v>
      </c>
      <c r="C41" s="132" t="str">
        <f>VLOOKUP(BB41,trad_termini,ID_lingua,FALSE)</f>
        <v>H (Side Panel)</v>
      </c>
      <c r="D41" s="132" t="str">
        <f>VLOOKUP(BC41,trad_termini,ID_lingua,FALSE)</f>
        <v>Cover</v>
      </c>
      <c r="E41" s="132" t="str">
        <f>VLOOKUP(BD41,trad_termini,ID_lingua,FALSE)</f>
        <v>Guides</v>
      </c>
      <c r="N41" s="117"/>
      <c r="P41" s="118"/>
      <c r="Q41" s="118"/>
      <c r="R41" s="119"/>
      <c r="S41" s="119"/>
      <c r="Y41" s="91" t="s">
        <v>936</v>
      </c>
      <c r="Z41" s="91" t="s">
        <v>937</v>
      </c>
      <c r="AA41" s="91" t="s">
        <v>921</v>
      </c>
      <c r="AB41" s="91" t="s">
        <v>922</v>
      </c>
      <c r="AC41" s="91" t="s">
        <v>754</v>
      </c>
      <c r="AD41" s="91" t="s">
        <v>939</v>
      </c>
      <c r="AE41" s="91" t="s">
        <v>945</v>
      </c>
      <c r="AF41" s="91" t="s">
        <v>944</v>
      </c>
      <c r="AZ41" s="102">
        <v>41</v>
      </c>
      <c r="BA41" s="91">
        <v>92</v>
      </c>
      <c r="BB41" s="91">
        <v>82</v>
      </c>
      <c r="BC41" s="91">
        <v>38</v>
      </c>
      <c r="BD41" s="91">
        <v>81</v>
      </c>
      <c r="BE41" s="91" t="s">
        <v>1569</v>
      </c>
      <c r="BF41" s="91" t="s">
        <v>1569</v>
      </c>
      <c r="BG41" s="91" t="s">
        <v>1569</v>
      </c>
      <c r="BH41" s="91" t="s">
        <v>1569</v>
      </c>
      <c r="BI41" s="91" t="s">
        <v>1569</v>
      </c>
      <c r="BJ41" s="91" t="s">
        <v>1569</v>
      </c>
      <c r="BK41" s="91" t="s">
        <v>1569</v>
      </c>
      <c r="BL41" s="102"/>
    </row>
    <row r="42" spans="2:64" ht="15" customHeight="1" x14ac:dyDescent="0.15">
      <c r="B42" s="75">
        <v>40</v>
      </c>
      <c r="C42" s="75">
        <v>850</v>
      </c>
      <c r="D42" s="75" t="s">
        <v>829</v>
      </c>
      <c r="E42" s="75" t="s">
        <v>280</v>
      </c>
      <c r="N42" s="117"/>
      <c r="P42" s="118"/>
      <c r="Q42" s="118"/>
      <c r="R42" s="119"/>
      <c r="S42" s="119"/>
      <c r="Y42" s="76">
        <f>B42</f>
        <v>40</v>
      </c>
      <c r="Z42" s="76" t="str">
        <f>IF(B42&lt;50,"N",IF(C42=1100,"N","L"))</f>
        <v>N</v>
      </c>
      <c r="AA42" s="76" t="str">
        <f>VLOOKUP(VLOOKUP(B38,mat_trasp_opt,2,FALSE),mat,2,FALSE)</f>
        <v>C</v>
      </c>
      <c r="AB42" s="76" t="str">
        <f>VLOOKUP(D42,cop,2,FALSE)</f>
        <v>P</v>
      </c>
      <c r="AC42" s="76" t="str">
        <f>VLOOKUP(E42,chg,2,FALSE)</f>
        <v>G</v>
      </c>
      <c r="AD42" s="76" t="str">
        <f>CONCATENATE(Y42,Z42,"_",AA42,AB42,AC42)</f>
        <v>40N_CPG</v>
      </c>
      <c r="AE42" s="76" t="str">
        <f>CONCATENATE(VLOOKUP(AD42,esec_dati,14,FALSE)," ",VLOOKUP(AD42,esec_dati,16,FALSE))</f>
        <v>40 STD</v>
      </c>
      <c r="AF42" s="139" t="str">
        <f>CONCATENATE(VLOOKUP(AD42,esec_dati,14,FALSE)," ",LEFT(VLOOKUP(AD42,esec_dati,16,FALSE),3))</f>
        <v>40 STD</v>
      </c>
      <c r="AZ42" s="102">
        <v>42</v>
      </c>
      <c r="BA42" s="91" t="s">
        <v>1569</v>
      </c>
      <c r="BB42" s="91" t="s">
        <v>1569</v>
      </c>
      <c r="BC42" s="91" t="s">
        <v>1569</v>
      </c>
      <c r="BD42" s="91" t="s">
        <v>1569</v>
      </c>
      <c r="BE42" s="91" t="s">
        <v>1569</v>
      </c>
      <c r="BF42" s="91" t="s">
        <v>1569</v>
      </c>
      <c r="BG42" s="91" t="s">
        <v>1569</v>
      </c>
      <c r="BH42" s="91" t="s">
        <v>1569</v>
      </c>
      <c r="BI42" s="91" t="s">
        <v>1569</v>
      </c>
      <c r="BJ42" s="91" t="s">
        <v>1569</v>
      </c>
      <c r="BK42" s="91" t="s">
        <v>1569</v>
      </c>
      <c r="BL42" s="102"/>
    </row>
    <row r="43" spans="2:64" ht="15" customHeight="1" x14ac:dyDescent="0.15">
      <c r="L43" s="91" t="s">
        <v>197</v>
      </c>
      <c r="N43" s="117"/>
      <c r="P43" s="118"/>
      <c r="Q43" s="118"/>
      <c r="R43" s="118"/>
      <c r="S43" s="119"/>
      <c r="Y43" s="134" t="s">
        <v>1658</v>
      </c>
      <c r="Z43" s="91"/>
      <c r="AA43" s="91"/>
      <c r="AB43" s="91"/>
      <c r="AD43" s="134" t="s">
        <v>951</v>
      </c>
      <c r="AF43" s="134" t="s">
        <v>1300</v>
      </c>
      <c r="AZ43" s="102">
        <v>43</v>
      </c>
      <c r="BA43" s="91" t="s">
        <v>1569</v>
      </c>
      <c r="BB43" s="91" t="s">
        <v>1569</v>
      </c>
      <c r="BC43" s="91" t="s">
        <v>1569</v>
      </c>
      <c r="BD43" s="91" t="s">
        <v>1569</v>
      </c>
      <c r="BE43" s="91" t="s">
        <v>1569</v>
      </c>
      <c r="BF43" s="91" t="s">
        <v>1569</v>
      </c>
      <c r="BG43" s="91" t="s">
        <v>1569</v>
      </c>
      <c r="BH43" s="91" t="s">
        <v>1569</v>
      </c>
      <c r="BI43" s="91" t="s">
        <v>1569</v>
      </c>
      <c r="BJ43" s="91" t="s">
        <v>1569</v>
      </c>
      <c r="BK43" s="91" t="s">
        <v>1569</v>
      </c>
      <c r="BL43" s="102"/>
    </row>
    <row r="44" spans="2:64" ht="15" customHeight="1" x14ac:dyDescent="0.15">
      <c r="B44" s="91" t="s">
        <v>238</v>
      </c>
      <c r="C44" s="188" t="str">
        <f>VLOOKUP(BB44,trad_termini,ID_lingua,FALSE)</f>
        <v>Arrangement</v>
      </c>
      <c r="D44" s="188"/>
      <c r="E44" s="188"/>
      <c r="F44" s="91" t="str">
        <f>VLOOKUP(BE44,trad_termini,ID_lingua,FALSE)</f>
        <v>Standard</v>
      </c>
      <c r="H44" s="91" t="str">
        <f>VLOOKUP(BG44,trad_termini,ID_lingua,FALSE)</f>
        <v>Config.</v>
      </c>
      <c r="K44" s="24" t="str">
        <f>VLOOKUP(BJ44,trad_termini,ID_lingua,FALSE)</f>
        <v>Dev. Length</v>
      </c>
      <c r="L44" s="140">
        <f>IFERROR(CEILING(AM52,100),"-")</f>
        <v>40300</v>
      </c>
      <c r="N44" s="117"/>
      <c r="P44" s="118"/>
      <c r="Q44" s="118"/>
      <c r="R44" s="118"/>
      <c r="S44" s="119"/>
      <c r="AB44" s="91"/>
      <c r="AZ44" s="102">
        <v>44</v>
      </c>
      <c r="BA44" s="91" t="s">
        <v>1569</v>
      </c>
      <c r="BB44" s="91">
        <v>6</v>
      </c>
      <c r="BC44" s="91" t="s">
        <v>1569</v>
      </c>
      <c r="BD44" s="91" t="s">
        <v>1569</v>
      </c>
      <c r="BE44" s="91">
        <v>64</v>
      </c>
      <c r="BF44" s="91" t="s">
        <v>1569</v>
      </c>
      <c r="BG44" s="91">
        <v>32</v>
      </c>
      <c r="BH44" s="91" t="s">
        <v>1569</v>
      </c>
      <c r="BI44" s="91" t="s">
        <v>1569</v>
      </c>
      <c r="BJ44" s="91">
        <v>160</v>
      </c>
      <c r="BK44" s="91" t="s">
        <v>1569</v>
      </c>
      <c r="BL44" s="102"/>
    </row>
    <row r="45" spans="2:64" ht="15" customHeight="1" x14ac:dyDescent="0.15">
      <c r="B45" s="123" t="str">
        <f>IFERROR(VLOOKUP(AD42,esec_dati,2,FALSE),"-")</f>
        <v>TKKB79</v>
      </c>
      <c r="C45" s="233" t="str">
        <f>IFERROR(VLOOKUP(AD42,esec_dati,4,FALSE),VLOOKUP("M04",trad_termini,ID_lingua,FALSE))</f>
        <v>TKK 40 BRZ-STD</v>
      </c>
      <c r="D45" s="233"/>
      <c r="E45" s="233"/>
      <c r="F45" s="123" t="str">
        <f>IFERROR(VLOOKUP(AD42,esec_dati,3,FALSE),"-")</f>
        <v>E01</v>
      </c>
      <c r="H45" s="128" t="s">
        <v>59</v>
      </c>
      <c r="K45" s="24" t="str">
        <f>VLOOKUP(BJ45,trad_termini,ID_lingua,FALSE)</f>
        <v>Wheelbase</v>
      </c>
      <c r="L45" s="140">
        <f>IFERROR(CEILING(AM53,100),"-")</f>
        <v>39300</v>
      </c>
      <c r="N45" s="117"/>
      <c r="P45" s="118"/>
      <c r="Q45" s="118"/>
      <c r="R45" s="118"/>
      <c r="S45" s="119"/>
      <c r="AB45" s="91"/>
      <c r="AZ45" s="102">
        <v>45</v>
      </c>
      <c r="BA45" s="91" t="s">
        <v>1569</v>
      </c>
      <c r="BB45" s="91" t="s">
        <v>1569</v>
      </c>
      <c r="BC45" s="91" t="s">
        <v>1569</v>
      </c>
      <c r="BD45" s="91" t="s">
        <v>1569</v>
      </c>
      <c r="BE45" s="91" t="s">
        <v>1569</v>
      </c>
      <c r="BF45" s="91" t="s">
        <v>1569</v>
      </c>
      <c r="BG45" s="91" t="s">
        <v>1569</v>
      </c>
      <c r="BH45" s="91" t="s">
        <v>1569</v>
      </c>
      <c r="BI45" s="91" t="s">
        <v>1569</v>
      </c>
      <c r="BJ45" s="91">
        <v>88</v>
      </c>
      <c r="BK45" s="91" t="s">
        <v>1569</v>
      </c>
      <c r="BL45" s="102"/>
    </row>
    <row r="46" spans="2:64" ht="15" customHeight="1" x14ac:dyDescent="0.15">
      <c r="N46" s="117"/>
      <c r="P46" s="118"/>
      <c r="Q46" s="118"/>
      <c r="R46" s="118"/>
      <c r="S46" s="119"/>
      <c r="Z46" s="91"/>
      <c r="AA46" s="91"/>
      <c r="AB46" s="91"/>
      <c r="AZ46" s="102">
        <v>46</v>
      </c>
      <c r="BA46" s="91" t="s">
        <v>1569</v>
      </c>
      <c r="BB46" s="91" t="s">
        <v>1569</v>
      </c>
      <c r="BC46" s="91" t="s">
        <v>1569</v>
      </c>
      <c r="BD46" s="91" t="s">
        <v>1569</v>
      </c>
      <c r="BE46" s="91" t="s">
        <v>1569</v>
      </c>
      <c r="BF46" s="91" t="s">
        <v>1569</v>
      </c>
      <c r="BG46" s="91" t="s">
        <v>1569</v>
      </c>
      <c r="BH46" s="91" t="s">
        <v>1569</v>
      </c>
      <c r="BI46" s="91" t="s">
        <v>1569</v>
      </c>
      <c r="BJ46" s="91" t="s">
        <v>1569</v>
      </c>
      <c r="BK46" s="91" t="s">
        <v>1569</v>
      </c>
      <c r="BL46" s="102"/>
    </row>
    <row r="47" spans="2:64" ht="15" customHeight="1" x14ac:dyDescent="0.15">
      <c r="B47" s="91"/>
      <c r="C47" s="188" t="str">
        <f>VLOOKUP(BB47,trad_termini,ID_lingua,FALSE)</f>
        <v>Machine Code</v>
      </c>
      <c r="D47" s="188"/>
      <c r="E47" s="188"/>
      <c r="G47" s="91"/>
      <c r="H47" s="91" t="str">
        <f>VLOOKUP(BG47,trad_termini,ID_lingua,FALSE)</f>
        <v>Slope (H Type only)</v>
      </c>
      <c r="N47" s="117"/>
      <c r="P47" s="118"/>
      <c r="Q47" s="118"/>
      <c r="R47" s="118"/>
      <c r="S47" s="119"/>
      <c r="AZ47" s="102">
        <v>47</v>
      </c>
      <c r="BA47" s="91" t="s">
        <v>1569</v>
      </c>
      <c r="BB47" s="91">
        <v>24</v>
      </c>
      <c r="BC47" s="91" t="s">
        <v>1569</v>
      </c>
      <c r="BD47" s="91" t="s">
        <v>1569</v>
      </c>
      <c r="BE47" s="91" t="s">
        <v>1569</v>
      </c>
      <c r="BF47" s="91" t="s">
        <v>1569</v>
      </c>
      <c r="BG47" s="91">
        <v>85</v>
      </c>
      <c r="BH47" s="91" t="s">
        <v>1569</v>
      </c>
      <c r="BI47" s="91" t="s">
        <v>1569</v>
      </c>
      <c r="BJ47" s="91" t="s">
        <v>1569</v>
      </c>
      <c r="BK47" s="91" t="s">
        <v>1569</v>
      </c>
      <c r="BL47" s="102"/>
    </row>
    <row r="48" spans="2:64" ht="15" customHeight="1" x14ac:dyDescent="0.15">
      <c r="B48" s="141"/>
      <c r="C48" s="246" t="str">
        <f>CONCATENATE("TKK",macchina_W," BRZ",IF(RIGHT(mod_base,3)="OSB"," HP"," STD"),"-",macchina_tipo)</f>
        <v>TKK40 BRZ STD-C</v>
      </c>
      <c r="D48" s="247"/>
      <c r="E48" s="248"/>
      <c r="F48" s="142"/>
      <c r="G48" s="143"/>
      <c r="H48" s="144" t="s">
        <v>40</v>
      </c>
      <c r="N48" s="117"/>
      <c r="P48" s="118"/>
      <c r="Q48" s="118"/>
      <c r="R48" s="118"/>
      <c r="S48" s="119"/>
      <c r="AZ48" s="102">
        <v>48</v>
      </c>
      <c r="BA48" s="91" t="s">
        <v>1569</v>
      </c>
      <c r="BB48" s="91" t="s">
        <v>1569</v>
      </c>
      <c r="BC48" s="91" t="s">
        <v>1569</v>
      </c>
      <c r="BD48" s="91" t="s">
        <v>1569</v>
      </c>
      <c r="BE48" s="91" t="s">
        <v>1569</v>
      </c>
      <c r="BF48" s="91" t="s">
        <v>1569</v>
      </c>
      <c r="BG48" s="91" t="s">
        <v>1569</v>
      </c>
      <c r="BH48" s="91" t="s">
        <v>1569</v>
      </c>
      <c r="BI48" s="91" t="s">
        <v>1569</v>
      </c>
      <c r="BJ48" s="91" t="s">
        <v>1569</v>
      </c>
      <c r="BK48" s="91" t="s">
        <v>1569</v>
      </c>
      <c r="BL48" s="102"/>
    </row>
    <row r="49" spans="2:64" ht="15" customHeight="1" x14ac:dyDescent="0.15">
      <c r="B49" s="141"/>
      <c r="C49" s="141"/>
      <c r="D49" s="141"/>
      <c r="E49" s="141"/>
      <c r="F49" s="141"/>
      <c r="G49" s="87"/>
      <c r="H49" s="91"/>
      <c r="I49" s="91"/>
      <c r="N49" s="117"/>
      <c r="P49" s="118"/>
      <c r="Q49" s="118"/>
      <c r="R49" s="118"/>
      <c r="S49" s="118"/>
      <c r="Y49" s="145" t="s">
        <v>100</v>
      </c>
      <c r="AZ49" s="102">
        <v>49</v>
      </c>
      <c r="BA49" s="91" t="s">
        <v>1569</v>
      </c>
      <c r="BB49" s="91" t="s">
        <v>1569</v>
      </c>
      <c r="BC49" s="91" t="s">
        <v>1569</v>
      </c>
      <c r="BD49" s="91" t="s">
        <v>1569</v>
      </c>
      <c r="BE49" s="91" t="s">
        <v>1569</v>
      </c>
      <c r="BF49" s="91" t="s">
        <v>1569</v>
      </c>
      <c r="BG49" s="91" t="s">
        <v>1569</v>
      </c>
      <c r="BH49" s="91" t="s">
        <v>1569</v>
      </c>
      <c r="BI49" s="91" t="s">
        <v>1569</v>
      </c>
      <c r="BJ49" s="91" t="s">
        <v>1569</v>
      </c>
      <c r="BK49" s="91" t="s">
        <v>1569</v>
      </c>
      <c r="BL49" s="102"/>
    </row>
    <row r="50" spans="2:64" ht="15" customHeight="1" x14ac:dyDescent="0.15">
      <c r="N50" s="117"/>
      <c r="P50" s="118"/>
      <c r="Q50" s="118"/>
      <c r="R50" s="118"/>
      <c r="S50" s="119"/>
      <c r="Y50" s="91"/>
      <c r="Z50" s="221" t="s">
        <v>338</v>
      </c>
      <c r="AA50" s="221"/>
      <c r="AB50" s="221"/>
      <c r="AZ50" s="102">
        <v>50</v>
      </c>
      <c r="BA50" s="91" t="s">
        <v>1569</v>
      </c>
      <c r="BB50" s="91" t="s">
        <v>1569</v>
      </c>
      <c r="BC50" s="91" t="s">
        <v>1569</v>
      </c>
      <c r="BD50" s="91" t="s">
        <v>1569</v>
      </c>
      <c r="BE50" s="91" t="s">
        <v>1569</v>
      </c>
      <c r="BF50" s="91" t="s">
        <v>1569</v>
      </c>
      <c r="BG50" s="91" t="s">
        <v>1569</v>
      </c>
      <c r="BH50" s="91" t="s">
        <v>1569</v>
      </c>
      <c r="BI50" s="91" t="s">
        <v>1569</v>
      </c>
      <c r="BJ50" s="91" t="s">
        <v>1569</v>
      </c>
      <c r="BK50" s="91" t="s">
        <v>1569</v>
      </c>
      <c r="BL50" s="102"/>
    </row>
    <row r="51" spans="2:64" ht="15" customHeight="1" x14ac:dyDescent="0.15">
      <c r="N51" s="117"/>
      <c r="P51" s="118"/>
      <c r="Q51" s="118"/>
      <c r="R51" s="118"/>
      <c r="S51" s="119"/>
      <c r="Y51" s="24" t="s">
        <v>449</v>
      </c>
      <c r="Z51" s="91" t="s">
        <v>446</v>
      </c>
      <c r="AA51" s="91" t="s">
        <v>335</v>
      </c>
      <c r="AB51" s="91" t="s">
        <v>443</v>
      </c>
      <c r="AH51" s="91" t="s">
        <v>770</v>
      </c>
      <c r="AI51" s="91" t="s">
        <v>771</v>
      </c>
      <c r="AJ51" s="91" t="s">
        <v>772</v>
      </c>
      <c r="AK51" s="91" t="s">
        <v>773</v>
      </c>
      <c r="AL51" s="91" t="s">
        <v>774</v>
      </c>
      <c r="AM51" s="91" t="s">
        <v>775</v>
      </c>
      <c r="AZ51" s="102">
        <v>51</v>
      </c>
      <c r="BA51" s="91" t="s">
        <v>1569</v>
      </c>
      <c r="BB51" s="91" t="s">
        <v>1569</v>
      </c>
      <c r="BC51" s="91" t="s">
        <v>1569</v>
      </c>
      <c r="BD51" s="91" t="s">
        <v>1569</v>
      </c>
      <c r="BE51" s="91" t="s">
        <v>1569</v>
      </c>
      <c r="BF51" s="91" t="s">
        <v>1569</v>
      </c>
      <c r="BG51" s="91" t="s">
        <v>1569</v>
      </c>
      <c r="BH51" s="91" t="s">
        <v>1569</v>
      </c>
      <c r="BI51" s="91" t="s">
        <v>1569</v>
      </c>
      <c r="BJ51" s="91" t="s">
        <v>1569</v>
      </c>
      <c r="BK51" s="91" t="s">
        <v>1569</v>
      </c>
      <c r="BL51" s="102"/>
    </row>
    <row r="52" spans="2:64" ht="15" customHeight="1" x14ac:dyDescent="0.15">
      <c r="N52" s="117"/>
      <c r="P52" s="118"/>
      <c r="Q52" s="118"/>
      <c r="R52" s="118"/>
      <c r="S52" s="119"/>
      <c r="Y52" s="24" t="s">
        <v>184</v>
      </c>
      <c r="Z52" s="76" t="e">
        <f ca="1">VALUE(RIGHT(VLOOKUP(macchina,INDIRECT(CONCATENATE("mrid_R_",config)),3,FALSE),3))</f>
        <v>#NAME?</v>
      </c>
      <c r="AA52" s="76" t="e">
        <f ca="1">MID(VLOOKUP(macchina,INDIRECT(CONCATENATE("mrid_KA_",config)),3,FALSE),3,3)</f>
        <v>#NAME?</v>
      </c>
      <c r="AB52" s="76" t="e">
        <f ca="1">MID(VLOOKUP(macchina,INDIRECT(CONCATENATE("mrid_KH_",config)),3,FALSE),3,3)</f>
        <v>#NAME?</v>
      </c>
      <c r="AG52" s="24" t="s">
        <v>721</v>
      </c>
      <c r="AH52" s="76">
        <f>VLOOKUP(mod_base,comando_dati,12,FALSE)</f>
        <v>2000</v>
      </c>
      <c r="AI52" s="76">
        <f>SUM($L$101:$L$113)/4</f>
        <v>34500</v>
      </c>
      <c r="AJ52" s="136">
        <f>C117*VLOOKUP(mod_base,macchina_dati,29,FALSE)*(IF(D117="-",0,D117))*PI()/180</f>
        <v>1108.6331408667982</v>
      </c>
      <c r="AK52" s="136">
        <f>C118*VLOOKUP(mod_base,macchina_dati,30,FALSE)*(IF(D118="-",0,D118))*PI()/180</f>
        <v>1167.9743354346053</v>
      </c>
      <c r="AL52" s="76">
        <f>VLOOKUP(mod_base,rinvio_dati,14,FALSE)</f>
        <v>1500</v>
      </c>
      <c r="AM52" s="136">
        <f>SUM(AH52:AL52)</f>
        <v>40276.607476301404</v>
      </c>
      <c r="AZ52" s="102">
        <v>52</v>
      </c>
      <c r="BA52" s="91" t="s">
        <v>1569</v>
      </c>
      <c r="BB52" s="91" t="s">
        <v>1569</v>
      </c>
      <c r="BC52" s="91" t="s">
        <v>1569</v>
      </c>
      <c r="BD52" s="91" t="s">
        <v>1569</v>
      </c>
      <c r="BE52" s="91" t="s">
        <v>1569</v>
      </c>
      <c r="BF52" s="91" t="s">
        <v>1569</v>
      </c>
      <c r="BG52" s="91" t="s">
        <v>1569</v>
      </c>
      <c r="BH52" s="91" t="s">
        <v>1569</v>
      </c>
      <c r="BI52" s="91" t="s">
        <v>1569</v>
      </c>
      <c r="BJ52" s="91" t="s">
        <v>1569</v>
      </c>
      <c r="BK52" s="91" t="s">
        <v>1569</v>
      </c>
      <c r="BL52" s="102"/>
    </row>
    <row r="53" spans="2:64" ht="15" customHeight="1" x14ac:dyDescent="0.15">
      <c r="N53" s="117"/>
      <c r="P53" s="118"/>
      <c r="Q53" s="118"/>
      <c r="R53" s="118"/>
      <c r="S53" s="119"/>
      <c r="Y53" s="24" t="s">
        <v>450</v>
      </c>
      <c r="Z53" s="76" t="e">
        <f ca="1">VLOOKUP(macchina,INDIRECT(CONCATENATE("mrid_R_",config)),4,FALSE)</f>
        <v>#NAME?</v>
      </c>
      <c r="AA53" s="76" t="e">
        <f ca="1">VLOOKUP(macchina,INDIRECT(CONCATENATE("mrid_KA_",config)),4,FALSE)</f>
        <v>#NAME?</v>
      </c>
      <c r="AB53" s="76" t="e">
        <f ca="1">VLOOKUP(macchina,INDIRECT(CONCATENATE("mrid_KH_",config)),4,FALSE)</f>
        <v>#NAME?</v>
      </c>
      <c r="AG53" s="24" t="s">
        <v>720</v>
      </c>
      <c r="AH53" s="76">
        <f>VLOOKUP(mod_base,comando_dati,11,FALSE)</f>
        <v>1450</v>
      </c>
      <c r="AI53" s="76">
        <f>SUM($L$101:$L$113)/4</f>
        <v>34500</v>
      </c>
      <c r="AJ53" s="136">
        <f>C117*VLOOKUP(mod_base,macchina_dati,29,FALSE)*(IF(D117="-",0,D117))*PI()/180</f>
        <v>1108.6331408667982</v>
      </c>
      <c r="AK53" s="136">
        <f>C118*VLOOKUP(mod_base,macchina_dati,30,FALSE)*(IF(D118="-",0,D118))*PI()/180</f>
        <v>1167.9743354346053</v>
      </c>
      <c r="AL53" s="76">
        <f>VLOOKUP(mod_base,rinvio_dati,13,FALSE)</f>
        <v>975</v>
      </c>
      <c r="AM53" s="136">
        <f>SUM(AH53:AL53)</f>
        <v>39201.607476301404</v>
      </c>
      <c r="AZ53" s="102">
        <v>53</v>
      </c>
      <c r="BA53" s="91" t="s">
        <v>1569</v>
      </c>
      <c r="BB53" s="91" t="s">
        <v>1569</v>
      </c>
      <c r="BC53" s="91" t="s">
        <v>1569</v>
      </c>
      <c r="BD53" s="91" t="s">
        <v>1569</v>
      </c>
      <c r="BE53" s="91" t="s">
        <v>1569</v>
      </c>
      <c r="BF53" s="91" t="s">
        <v>1569</v>
      </c>
      <c r="BG53" s="91" t="s">
        <v>1569</v>
      </c>
      <c r="BH53" s="91" t="s">
        <v>1569</v>
      </c>
      <c r="BI53" s="91" t="s">
        <v>1569</v>
      </c>
      <c r="BJ53" s="91" t="s">
        <v>1569</v>
      </c>
      <c r="BK53" s="91" t="s">
        <v>1569</v>
      </c>
      <c r="BL53" s="102"/>
    </row>
    <row r="54" spans="2:64" ht="15" customHeight="1" x14ac:dyDescent="0.15">
      <c r="B54" s="146" t="str">
        <f>VLOOKUP(BA54,trad_termini,ID_lingua,FALSE)</f>
        <v>Driving Unit</v>
      </c>
      <c r="N54" s="117"/>
      <c r="P54" s="118"/>
      <c r="Q54" s="118"/>
      <c r="R54" s="118"/>
      <c r="S54" s="119"/>
      <c r="AZ54" s="102">
        <v>54</v>
      </c>
      <c r="BA54" s="91">
        <v>109</v>
      </c>
      <c r="BB54" s="91" t="s">
        <v>1569</v>
      </c>
      <c r="BC54" s="91" t="s">
        <v>1569</v>
      </c>
      <c r="BD54" s="91" t="s">
        <v>1569</v>
      </c>
      <c r="BE54" s="91" t="s">
        <v>1569</v>
      </c>
      <c r="BF54" s="91" t="s">
        <v>1569</v>
      </c>
      <c r="BG54" s="91" t="s">
        <v>1569</v>
      </c>
      <c r="BH54" s="91" t="s">
        <v>1569</v>
      </c>
      <c r="BI54" s="91" t="s">
        <v>1569</v>
      </c>
      <c r="BJ54" s="91" t="s">
        <v>1569</v>
      </c>
      <c r="BK54" s="91" t="s">
        <v>1569</v>
      </c>
      <c r="BL54" s="102"/>
    </row>
    <row r="55" spans="2:64" ht="15" customHeight="1" x14ac:dyDescent="0.15">
      <c r="B55" s="142" t="str">
        <f>VLOOKUP(BA55,trad_termini,ID_lingua,FALSE)</f>
        <v>Driving Head</v>
      </c>
      <c r="E55" s="221" t="str">
        <f>VLOOKUP(BD55,trad_termini,ID_lingua,FALSE)</f>
        <v>Driving Unit</v>
      </c>
      <c r="F55" s="221"/>
      <c r="N55" s="117"/>
      <c r="P55" s="118"/>
      <c r="Q55" s="118"/>
      <c r="R55" s="118"/>
      <c r="S55" s="119"/>
      <c r="Y55" s="24" t="s">
        <v>451</v>
      </c>
      <c r="Z55" s="91" t="str">
        <f>IF(LEFT(mrid,1)="R",VALUE(MID(mrid,2,3)),"0")</f>
        <v>0</v>
      </c>
      <c r="AA55" s="91" t="str">
        <f>IF(LEFT(mrid,2)="KA",VALUE(MID(mrid,3,3)),"0")</f>
        <v>0</v>
      </c>
      <c r="AB55" s="91">
        <f>IF(LEFT(mrid,2)="KH",VALUE(MID(mrid,3,3)),"0")</f>
        <v>127</v>
      </c>
      <c r="AZ55" s="102">
        <v>55</v>
      </c>
      <c r="BA55" s="91">
        <v>26</v>
      </c>
      <c r="BB55" s="91" t="s">
        <v>1569</v>
      </c>
      <c r="BC55" s="91" t="s">
        <v>1569</v>
      </c>
      <c r="BD55" s="91">
        <v>109</v>
      </c>
      <c r="BE55" s="91" t="s">
        <v>1569</v>
      </c>
      <c r="BF55" s="91" t="s">
        <v>1569</v>
      </c>
      <c r="BG55" s="91" t="s">
        <v>1569</v>
      </c>
      <c r="BH55" s="91" t="s">
        <v>1569</v>
      </c>
      <c r="BI55" s="91" t="s">
        <v>1569</v>
      </c>
      <c r="BJ55" s="91" t="s">
        <v>1569</v>
      </c>
      <c r="BK55" s="91" t="s">
        <v>1569</v>
      </c>
      <c r="BL55" s="102"/>
    </row>
    <row r="56" spans="2:64" ht="15" customHeight="1" x14ac:dyDescent="0.15">
      <c r="E56" s="194" t="s">
        <v>1977</v>
      </c>
      <c r="F56" s="195"/>
      <c r="N56" s="117"/>
      <c r="P56" s="118"/>
      <c r="Q56" s="118"/>
      <c r="R56" s="118">
        <f>IF(OR(mot_opt_scelta=VLOOKUP("A01",trad_termini,ID_lingua,FALSE),mot_opt_scelta="-"),1,0)</f>
        <v>1</v>
      </c>
      <c r="S56" s="119" t="s">
        <v>756</v>
      </c>
      <c r="Y56" s="24" t="s">
        <v>452</v>
      </c>
      <c r="Z56" s="91" t="e">
        <f ca="1">IF(AND(LEFT(mrid,1)="R",VALUE(Z55)&lt;=VALUE(Z52),P_rid&lt;=Z53),1,0)</f>
        <v>#NAME?</v>
      </c>
      <c r="AA56" s="91" t="e">
        <f ca="1">IF(AND(LEFT(mrid,2)="KA",VALUE(AA55)&lt;=VALUE(AA52),P_rid&lt;=AA53),1,0)</f>
        <v>#NAME?</v>
      </c>
      <c r="AB56" s="91" t="e">
        <f ca="1">IF(AND(LEFT(mrid,2)="KH",VALUE(AB55)&lt;=VALUE(AB52),P_rid&lt;=AB53),1,0)</f>
        <v>#NAME?</v>
      </c>
      <c r="AZ56" s="102">
        <v>56</v>
      </c>
      <c r="BA56" s="91" t="s">
        <v>1569</v>
      </c>
      <c r="BB56" s="91" t="s">
        <v>1569</v>
      </c>
      <c r="BC56" s="91" t="s">
        <v>1569</v>
      </c>
      <c r="BD56" s="138" t="s">
        <v>1569</v>
      </c>
      <c r="BE56" s="91" t="s">
        <v>1569</v>
      </c>
      <c r="BF56" s="91" t="s">
        <v>1569</v>
      </c>
      <c r="BG56" s="91" t="s">
        <v>1569</v>
      </c>
      <c r="BH56" s="91" t="s">
        <v>1569</v>
      </c>
      <c r="BI56" s="91" t="s">
        <v>1569</v>
      </c>
      <c r="BJ56" s="91" t="s">
        <v>1569</v>
      </c>
      <c r="BK56" s="91" t="s">
        <v>1569</v>
      </c>
      <c r="BL56" s="102"/>
    </row>
    <row r="57" spans="2:64" ht="15" customHeight="1" x14ac:dyDescent="0.15">
      <c r="B57" s="132" t="str">
        <f>VLOOKUP(BA57,trad_termini,ID_lingua,FALSE)</f>
        <v>Qty</v>
      </c>
      <c r="C57" s="188" t="str">
        <f>VLOOKUP(BB57,trad_termini,ID_lingua,FALSE)</f>
        <v>Type</v>
      </c>
      <c r="D57" s="188"/>
      <c r="E57" s="91" t="s">
        <v>102</v>
      </c>
      <c r="F57" s="91" t="s">
        <v>103</v>
      </c>
      <c r="G57" s="132" t="str">
        <f>VLOOKUP(BF57,trad_termini,ID_lingua,FALSE)</f>
        <v>Arrangement</v>
      </c>
      <c r="H57" s="91" t="s">
        <v>105</v>
      </c>
      <c r="I57" s="91" t="s">
        <v>106</v>
      </c>
      <c r="J57" s="91" t="s">
        <v>107</v>
      </c>
      <c r="K57" s="132" t="str">
        <f>VLOOKUP(BJ57,trad_termini,ID_lingua,FALSE)</f>
        <v>Insul. Class</v>
      </c>
      <c r="L57" s="132" t="str">
        <f>VLOOKUP(BK57,trad_termini,ID_lingua,FALSE)</f>
        <v>Heater (V)</v>
      </c>
      <c r="N57" s="117"/>
      <c r="P57" s="118"/>
      <c r="Q57" s="118"/>
      <c r="R57" s="118"/>
      <c r="S57" s="119"/>
      <c r="Y57" s="24" t="s">
        <v>462</v>
      </c>
      <c r="Z57" s="91">
        <f>IF(AND(mrid_tipo="R",mrid_qt=2),0,1)</f>
        <v>1</v>
      </c>
      <c r="AZ57" s="102">
        <v>57</v>
      </c>
      <c r="BA57" s="91">
        <v>128</v>
      </c>
      <c r="BB57" s="91">
        <v>168</v>
      </c>
      <c r="BC57" s="91" t="s">
        <v>1569</v>
      </c>
      <c r="BD57" s="91" t="s">
        <v>1569</v>
      </c>
      <c r="BE57" s="91" t="s">
        <v>1569</v>
      </c>
      <c r="BF57" s="91">
        <v>71</v>
      </c>
      <c r="BG57" s="91" t="s">
        <v>1569</v>
      </c>
      <c r="BH57" s="91" t="s">
        <v>1569</v>
      </c>
      <c r="BI57" s="91" t="s">
        <v>1569</v>
      </c>
      <c r="BJ57" s="91">
        <v>21</v>
      </c>
      <c r="BK57" s="91">
        <v>132</v>
      </c>
      <c r="BL57" s="102"/>
    </row>
    <row r="58" spans="2:64" ht="15" customHeight="1" x14ac:dyDescent="0.15">
      <c r="B58" s="75">
        <v>2</v>
      </c>
      <c r="C58" s="197" t="s">
        <v>256</v>
      </c>
      <c r="D58" s="197"/>
      <c r="E58" s="75">
        <v>18.5</v>
      </c>
      <c r="F58" s="75">
        <v>16</v>
      </c>
      <c r="G58" s="75" t="str">
        <f>CONCATENATE("M4",AF60,IF(incl_com&gt;0,CONCATENATE("&gt;M1",AF60,"-",incl_com,"°"),""))</f>
        <v>M4B&gt;M1B-5°</v>
      </c>
      <c r="H58" s="75">
        <v>400</v>
      </c>
      <c r="I58" s="75">
        <v>50</v>
      </c>
      <c r="J58" s="75" t="s">
        <v>658</v>
      </c>
      <c r="K58" s="75" t="s">
        <v>62</v>
      </c>
      <c r="L58" s="75" t="s">
        <v>40</v>
      </c>
      <c r="N58" s="124" t="str">
        <f ca="1">IFERROR(IF(chk_mrid=0,VLOOKUP(BL58,trad_termini,ID_lingua,FALSE),""),"")</f>
        <v/>
      </c>
      <c r="P58" s="118"/>
      <c r="Q58" s="118"/>
      <c r="R58" s="118"/>
      <c r="S58" s="119"/>
      <c r="Y58" s="24" t="s">
        <v>454</v>
      </c>
      <c r="Z58" s="91" t="e">
        <f ca="1">SUM(Z56:AB56)*Z57</f>
        <v>#NAME?</v>
      </c>
      <c r="AE58" s="112" t="s">
        <v>1587</v>
      </c>
      <c r="AZ58" s="102">
        <v>58</v>
      </c>
      <c r="BA58" s="91" t="s">
        <v>1569</v>
      </c>
      <c r="BB58" s="91" t="s">
        <v>1569</v>
      </c>
      <c r="BC58" s="91" t="s">
        <v>1569</v>
      </c>
      <c r="BD58" s="91" t="s">
        <v>1569</v>
      </c>
      <c r="BE58" s="91" t="s">
        <v>1569</v>
      </c>
      <c r="BF58" s="91" t="s">
        <v>1569</v>
      </c>
      <c r="BG58" s="91" t="s">
        <v>1569</v>
      </c>
      <c r="BH58" s="91" t="s">
        <v>1569</v>
      </c>
      <c r="BI58" s="91" t="s">
        <v>1569</v>
      </c>
      <c r="BJ58" s="91" t="s">
        <v>1569</v>
      </c>
      <c r="BK58" s="91" t="s">
        <v>1569</v>
      </c>
      <c r="BL58" s="102" t="s">
        <v>1946</v>
      </c>
    </row>
    <row r="59" spans="2:64" ht="15" customHeight="1" x14ac:dyDescent="0.15">
      <c r="B59" s="91"/>
      <c r="C59" s="224" t="str">
        <f>VLOOKUP(BB59,trad_termini,ID_lingua,FALSE)</f>
        <v>Manufacturer's ID</v>
      </c>
      <c r="D59" s="224"/>
      <c r="E59" s="224"/>
      <c r="F59" s="224"/>
      <c r="G59" s="224"/>
      <c r="H59" s="91"/>
      <c r="I59" s="91"/>
      <c r="J59" s="91"/>
      <c r="K59" s="91"/>
      <c r="L59" s="91"/>
      <c r="N59" s="124" t="str">
        <f>IF(OR(AND(flg_gmot=1,mrid_tipo="R"),AND(flg_gmot=0,LEFT(mrid_tipo,1)="K")),VLOOKUP(BL59,trad_termini,ID_lingua,FALSE),"")</f>
        <v/>
      </c>
      <c r="P59" s="118"/>
      <c r="Q59" s="118"/>
      <c r="R59" s="118"/>
      <c r="S59" s="119"/>
      <c r="Z59" s="91"/>
      <c r="AE59" s="91" t="s">
        <v>735</v>
      </c>
      <c r="AF59" s="91" t="s">
        <v>1586</v>
      </c>
      <c r="AZ59" s="102">
        <v>59</v>
      </c>
      <c r="BA59" s="91" t="s">
        <v>1569</v>
      </c>
      <c r="BB59" s="91">
        <v>25</v>
      </c>
      <c r="BC59" s="91" t="s">
        <v>1569</v>
      </c>
      <c r="BD59" s="91" t="s">
        <v>1569</v>
      </c>
      <c r="BE59" s="91" t="s">
        <v>1569</v>
      </c>
      <c r="BF59" s="91" t="s">
        <v>1569</v>
      </c>
      <c r="BG59" s="91" t="s">
        <v>1569</v>
      </c>
      <c r="BH59" s="91" t="s">
        <v>1569</v>
      </c>
      <c r="BI59" s="91" t="s">
        <v>1569</v>
      </c>
      <c r="BJ59" s="91" t="s">
        <v>1569</v>
      </c>
      <c r="BK59" s="91" t="s">
        <v>1569</v>
      </c>
      <c r="BL59" s="102" t="s">
        <v>1948</v>
      </c>
    </row>
    <row r="60" spans="2:64" ht="15" customHeight="1" x14ac:dyDescent="0.15">
      <c r="B60" s="91"/>
      <c r="C60" s="194" t="s">
        <v>2088</v>
      </c>
      <c r="D60" s="211"/>
      <c r="E60" s="211"/>
      <c r="F60" s="211"/>
      <c r="G60" s="195"/>
      <c r="H60" s="91"/>
      <c r="I60" s="24" t="str">
        <f>VLOOKUP(BH60,trad_termini,ID_lingua,FALSE)</f>
        <v>Supplied by</v>
      </c>
      <c r="J60" s="75" t="s">
        <v>809</v>
      </c>
      <c r="K60" s="91"/>
      <c r="L60" s="91"/>
      <c r="N60" s="124"/>
      <c r="P60" s="118"/>
      <c r="Q60" s="118"/>
      <c r="R60" s="118">
        <f>IF(J60="Trasmec",1,0)</f>
        <v>1</v>
      </c>
      <c r="S60" s="119" t="s">
        <v>808</v>
      </c>
      <c r="Y60" s="24" t="s">
        <v>1169</v>
      </c>
      <c r="Z60" s="76" t="str">
        <f>IF(mrid_qt=2,"-",LEFT(I63,1))</f>
        <v>-</v>
      </c>
      <c r="AE60" s="76" t="str">
        <f>CONCATENATE("M4",AF60,"&gt;M1",AF60,"-",incl_com,"°")</f>
        <v>M4B&gt;M1B-5°</v>
      </c>
      <c r="AF60" s="76" t="str">
        <f>IF(I63="DX + SX","",IF(I63="DX","A","B"))</f>
        <v>B</v>
      </c>
      <c r="AZ60" s="102">
        <v>60</v>
      </c>
      <c r="BA60" s="91" t="s">
        <v>1569</v>
      </c>
      <c r="BB60" s="91" t="s">
        <v>1569</v>
      </c>
      <c r="BC60" s="91" t="s">
        <v>1569</v>
      </c>
      <c r="BD60" s="91" t="s">
        <v>1569</v>
      </c>
      <c r="BE60" s="91" t="s">
        <v>1569</v>
      </c>
      <c r="BF60" s="91" t="s">
        <v>1569</v>
      </c>
      <c r="BG60" s="91" t="s">
        <v>1569</v>
      </c>
      <c r="BH60" s="91">
        <v>74</v>
      </c>
      <c r="BI60" s="138" t="s">
        <v>1569</v>
      </c>
      <c r="BJ60" s="91" t="s">
        <v>1569</v>
      </c>
      <c r="BK60" s="91" t="s">
        <v>1569</v>
      </c>
      <c r="BL60" s="102"/>
    </row>
    <row r="61" spans="2:64" ht="9.9499999999999993" customHeight="1" x14ac:dyDescent="0.15">
      <c r="B61" s="91"/>
      <c r="C61" s="91"/>
      <c r="D61" s="91"/>
      <c r="E61" s="91"/>
      <c r="F61" s="91"/>
      <c r="G61" s="91"/>
      <c r="H61" s="91"/>
      <c r="I61" s="91"/>
      <c r="J61" s="91"/>
      <c r="K61" s="91"/>
      <c r="L61" s="91"/>
      <c r="N61" s="117"/>
      <c r="P61" s="118"/>
      <c r="Q61" s="118"/>
      <c r="R61" s="118"/>
      <c r="S61" s="119"/>
      <c r="Y61" s="24" t="s">
        <v>456</v>
      </c>
      <c r="Z61" s="76" t="str">
        <f>IF(LEFT(mrid,1)="R","R",IF(LEFT(mrid,2)="KA","KA","KH"))</f>
        <v>KH</v>
      </c>
      <c r="AB61" s="94" t="s">
        <v>1170</v>
      </c>
      <c r="AC61" s="76" t="str">
        <f>LEFT(mrid_tipo,1)</f>
        <v>K</v>
      </c>
      <c r="AZ61" s="102">
        <v>61</v>
      </c>
      <c r="BA61" s="91" t="s">
        <v>1569</v>
      </c>
      <c r="BB61" s="91" t="s">
        <v>1569</v>
      </c>
      <c r="BC61" s="91" t="s">
        <v>1569</v>
      </c>
      <c r="BD61" s="91" t="s">
        <v>1569</v>
      </c>
      <c r="BE61" s="91" t="s">
        <v>1569</v>
      </c>
      <c r="BF61" s="91" t="s">
        <v>1569</v>
      </c>
      <c r="BG61" s="91" t="s">
        <v>1569</v>
      </c>
      <c r="BH61" s="91" t="s">
        <v>1569</v>
      </c>
      <c r="BI61" s="91" t="s">
        <v>1569</v>
      </c>
      <c r="BJ61" s="91" t="s">
        <v>1569</v>
      </c>
      <c r="BK61" s="91" t="s">
        <v>1569</v>
      </c>
      <c r="BL61" s="102"/>
    </row>
    <row r="62" spans="2:64" ht="15" customHeight="1" x14ac:dyDescent="0.15">
      <c r="B62" s="188" t="str">
        <f>VLOOKUP(BA62,trad_termini,ID_lingua,FALSE)</f>
        <v>Lubrication</v>
      </c>
      <c r="C62" s="188"/>
      <c r="D62" s="188" t="str">
        <f>VLOOKUP(BC62,trad_termini,ID_lingua,FALSE)</f>
        <v>Ambient Temp.</v>
      </c>
      <c r="E62" s="188"/>
      <c r="F62" s="132" t="str">
        <f>VLOOKUP(BE62,trad_termini,ID_lingua,FALSE)</f>
        <v>Oil Type</v>
      </c>
      <c r="I62" s="132" t="str">
        <f>VLOOKUP(BH62,trad_termini,ID_lingua,FALSE)</f>
        <v>Inst. Side</v>
      </c>
      <c r="J62" s="91" t="s">
        <v>194</v>
      </c>
      <c r="K62" s="91" t="s">
        <v>195</v>
      </c>
      <c r="L62" s="132" t="str">
        <f>VLOOKUP(BK62,trad_termini,ID_lingua,FALSE)</f>
        <v>Forced Cooling</v>
      </c>
      <c r="N62" s="117"/>
      <c r="P62" s="118"/>
      <c r="Q62" s="118"/>
      <c r="R62" s="118"/>
      <c r="S62" s="119"/>
      <c r="Y62" s="24" t="s">
        <v>458</v>
      </c>
      <c r="Z62" s="76">
        <f>IF(LEFT(mrid,1)="R",MID(mrid,2,3),IF(LEFT(mrid,1)="K",VLOOKUP(mrid,mrid_dati,8,FALSE)))</f>
        <v>127</v>
      </c>
      <c r="AZ62" s="102">
        <v>62</v>
      </c>
      <c r="BA62" s="91">
        <v>96</v>
      </c>
      <c r="BB62" s="91" t="s">
        <v>1569</v>
      </c>
      <c r="BC62" s="91">
        <v>161</v>
      </c>
      <c r="BD62" s="91" t="s">
        <v>1569</v>
      </c>
      <c r="BE62" s="91">
        <v>171</v>
      </c>
      <c r="BF62" s="91" t="s">
        <v>1569</v>
      </c>
      <c r="BG62" s="91" t="s">
        <v>1569</v>
      </c>
      <c r="BH62" s="91">
        <v>93</v>
      </c>
      <c r="BI62" s="91" t="s">
        <v>1569</v>
      </c>
      <c r="BJ62" s="91" t="s">
        <v>1569</v>
      </c>
      <c r="BK62" s="91">
        <v>147</v>
      </c>
      <c r="BL62" s="102"/>
    </row>
    <row r="63" spans="2:64" ht="15" customHeight="1" x14ac:dyDescent="0.15">
      <c r="B63" s="197" t="s">
        <v>130</v>
      </c>
      <c r="C63" s="197"/>
      <c r="D63" s="196" t="str">
        <f>VLOOKUP(B63,ol_dati,2,FALSE)</f>
        <v>-15 ÷ +40°C</v>
      </c>
      <c r="E63" s="196"/>
      <c r="F63" s="76" t="str">
        <f>VLOOKUP(B63,ol_dati,3,FALSE)</f>
        <v>MINERAL</v>
      </c>
      <c r="I63" s="75" t="s">
        <v>2038</v>
      </c>
      <c r="J63" s="75" t="s">
        <v>2002</v>
      </c>
      <c r="K63" s="75" t="s">
        <v>40</v>
      </c>
      <c r="L63" s="75" t="s">
        <v>40</v>
      </c>
      <c r="N63" s="117"/>
      <c r="P63" s="118"/>
      <c r="Q63" s="118"/>
      <c r="R63" s="118"/>
      <c r="S63" s="119"/>
      <c r="Y63" s="145"/>
      <c r="AZ63" s="102">
        <v>63</v>
      </c>
      <c r="BA63" s="91" t="s">
        <v>1569</v>
      </c>
      <c r="BB63" s="91" t="s">
        <v>1569</v>
      </c>
      <c r="BC63" s="91" t="s">
        <v>1569</v>
      </c>
      <c r="BD63" s="91" t="s">
        <v>1569</v>
      </c>
      <c r="BE63" s="91" t="s">
        <v>1569</v>
      </c>
      <c r="BF63" s="91" t="s">
        <v>1569</v>
      </c>
      <c r="BG63" s="91" t="s">
        <v>1569</v>
      </c>
      <c r="BH63" s="138" t="s">
        <v>1569</v>
      </c>
      <c r="BI63" s="138" t="s">
        <v>1569</v>
      </c>
      <c r="BJ63" s="138" t="s">
        <v>1569</v>
      </c>
      <c r="BK63" s="138" t="s">
        <v>1569</v>
      </c>
      <c r="BL63" s="102"/>
    </row>
    <row r="64" spans="2:64" ht="9.9499999999999993" customHeight="1" x14ac:dyDescent="0.15">
      <c r="N64" s="117"/>
      <c r="P64" s="118"/>
      <c r="Q64" s="118"/>
      <c r="R64" s="118"/>
      <c r="S64" s="119"/>
      <c r="Y64" s="24" t="s">
        <v>728</v>
      </c>
      <c r="Z64" s="76" t="str">
        <f>IF(mot_opt_scelta=VLOOKUP("A01",trad_termini,ID_lingua,FALSE),"mrid_tipi_K","mrid_tipi_R")</f>
        <v>mrid_tipi_K</v>
      </c>
      <c r="AZ64" s="102">
        <v>64</v>
      </c>
      <c r="BA64" s="91" t="s">
        <v>1569</v>
      </c>
      <c r="BB64" s="91" t="s">
        <v>1569</v>
      </c>
      <c r="BC64" s="91" t="s">
        <v>1569</v>
      </c>
      <c r="BD64" s="91" t="s">
        <v>1569</v>
      </c>
      <c r="BE64" s="91" t="s">
        <v>1569</v>
      </c>
      <c r="BF64" s="91" t="s">
        <v>1569</v>
      </c>
      <c r="BG64" s="91" t="s">
        <v>1569</v>
      </c>
      <c r="BH64" s="91" t="s">
        <v>1569</v>
      </c>
      <c r="BI64" s="91" t="s">
        <v>1569</v>
      </c>
      <c r="BJ64" s="91" t="s">
        <v>1569</v>
      </c>
      <c r="BK64" s="91" t="s">
        <v>1569</v>
      </c>
      <c r="BL64" s="102"/>
    </row>
    <row r="65" spans="1:64" ht="15" customHeight="1" x14ac:dyDescent="0.15">
      <c r="A65" s="148"/>
      <c r="B65" s="142" t="str">
        <f>VLOOKUP(BA65,trad_termini,ID_lingua,FALSE)</f>
        <v>Chain Drive</v>
      </c>
      <c r="N65" s="124" t="str">
        <f>IF(AND(mot_opt_scelta="Motoriduttore Pendolare",flg_chad=1),VLOOKUP(BL65,trad_termini,ID_lingua,FALSE),"")</f>
        <v/>
      </c>
      <c r="O65" s="149"/>
      <c r="P65" s="118"/>
      <c r="Q65" s="118"/>
      <c r="R65" s="118">
        <f>IF(A65="X",1,0)</f>
        <v>0</v>
      </c>
      <c r="S65" s="119" t="s">
        <v>239</v>
      </c>
      <c r="AZ65" s="102">
        <v>65</v>
      </c>
      <c r="BA65" s="91">
        <v>172</v>
      </c>
      <c r="BB65" s="91" t="s">
        <v>1569</v>
      </c>
      <c r="BC65" s="91" t="s">
        <v>1569</v>
      </c>
      <c r="BD65" s="91" t="s">
        <v>1569</v>
      </c>
      <c r="BE65" s="91" t="s">
        <v>1569</v>
      </c>
      <c r="BF65" s="91" t="s">
        <v>1569</v>
      </c>
      <c r="BG65" s="91" t="s">
        <v>1569</v>
      </c>
      <c r="BH65" s="91" t="s">
        <v>1569</v>
      </c>
      <c r="BI65" s="91" t="s">
        <v>1569</v>
      </c>
      <c r="BJ65" s="91" t="s">
        <v>1569</v>
      </c>
      <c r="BK65" s="91" t="s">
        <v>1569</v>
      </c>
      <c r="BL65" s="102" t="s">
        <v>1951</v>
      </c>
    </row>
    <row r="66" spans="1:64" ht="15" customHeight="1" x14ac:dyDescent="0.15">
      <c r="C66" s="132" t="str">
        <f>VLOOKUP(BB66,trad_termini,ID_lingua,FALSE)</f>
        <v>Qty</v>
      </c>
      <c r="D66" s="91" t="s">
        <v>181</v>
      </c>
      <c r="E66" s="132" t="str">
        <f>VLOOKUP(BD66,trad_termini,ID_lingua,FALSE)</f>
        <v>Pitch</v>
      </c>
      <c r="F66" s="188" t="str">
        <f>VLOOKUP(BE66,trad_termini,ID_lingua,FALSE)</f>
        <v>Drawing</v>
      </c>
      <c r="G66" s="188"/>
      <c r="I66" s="132" t="str">
        <f>VLOOKUP(BH66,trad_termini,ID_lingua,FALSE)</f>
        <v>D(hole)</v>
      </c>
      <c r="J66" s="132" t="str">
        <f>VLOOKUP(BI66,trad_termini,ID_lingua,FALSE)</f>
        <v>Locking Device</v>
      </c>
      <c r="K66" s="188" t="str">
        <f>VLOOKUP(BJ66,trad_termini,ID_lingua,FALSE)</f>
        <v>Size</v>
      </c>
      <c r="L66" s="188"/>
      <c r="N66" s="117"/>
      <c r="O66" s="149"/>
      <c r="P66" s="118"/>
      <c r="Q66" s="118"/>
      <c r="R66" s="118"/>
      <c r="S66" s="119"/>
      <c r="Y66" s="91" t="s">
        <v>795</v>
      </c>
      <c r="AZ66" s="102">
        <v>66</v>
      </c>
      <c r="BA66" s="91" t="s">
        <v>1569</v>
      </c>
      <c r="BB66" s="91">
        <v>128</v>
      </c>
      <c r="BC66" s="91" t="s">
        <v>1569</v>
      </c>
      <c r="BD66" s="91">
        <v>118</v>
      </c>
      <c r="BE66" s="91">
        <v>57</v>
      </c>
      <c r="BF66" s="91" t="s">
        <v>1569</v>
      </c>
      <c r="BG66" s="91" t="s">
        <v>1569</v>
      </c>
      <c r="BH66" s="91">
        <v>43</v>
      </c>
      <c r="BI66" s="91">
        <v>16</v>
      </c>
      <c r="BJ66" s="91">
        <v>106</v>
      </c>
      <c r="BK66" s="91" t="s">
        <v>1569</v>
      </c>
      <c r="BL66" s="102"/>
    </row>
    <row r="67" spans="1:64" ht="15" customHeight="1" x14ac:dyDescent="0.15">
      <c r="B67" s="24" t="str">
        <f>VLOOKUP(BA67,trad_termini,ID_lingua,FALSE)</f>
        <v>Sprocket</v>
      </c>
      <c r="C67" s="76" t="str">
        <f>IF(flg_chad,1,"-")</f>
        <v>-</v>
      </c>
      <c r="D67" s="75" t="s">
        <v>40</v>
      </c>
      <c r="E67" s="76" t="str">
        <f>IF(flg_chad=0,"-",VLOOKUP(P_rid,catena_trasm_potenza,2,FALSE))</f>
        <v>-</v>
      </c>
      <c r="F67" s="223" t="str">
        <f>IF(flg_chad,CONCATENATE("012.00.07.01.",TEXT(VLOOKUP(E67,catena_trasm_dati,3,FALSE),"00"),".",D67,".",VLOOKUP(mrid,mrid_dati,5,FALSE)),"-")</f>
        <v>-</v>
      </c>
      <c r="G67" s="185"/>
      <c r="I67" s="76" t="str">
        <f>IF(C67&lt;&gt;"-",VLOOKUP(C58,mrid_dati,4,FALSE),"-")</f>
        <v>-</v>
      </c>
      <c r="J67" s="76" t="str">
        <f>IF(A65="X","7000.B","-")</f>
        <v>-</v>
      </c>
      <c r="K67" s="196" t="str">
        <f>IFERROR(IF(C67&lt;&gt;"-",CONCATENATE(J67,"-",VLOOKUP(VALUE(LEFT(I67,3)),calettatori_dati,2,FALSE)),"-"),"-")</f>
        <v>-</v>
      </c>
      <c r="L67" s="196"/>
      <c r="N67" s="117"/>
      <c r="P67" s="118"/>
      <c r="Q67" s="118"/>
      <c r="R67" s="118"/>
      <c r="S67" s="119"/>
      <c r="Y67" s="76" t="str">
        <f>RIGHT(E67,1)</f>
        <v>-</v>
      </c>
      <c r="AZ67" s="102">
        <v>67</v>
      </c>
      <c r="BA67" s="91">
        <v>123</v>
      </c>
      <c r="BB67" s="91" t="s">
        <v>1569</v>
      </c>
      <c r="BC67" s="91" t="s">
        <v>1569</v>
      </c>
      <c r="BD67" s="91" t="s">
        <v>1569</v>
      </c>
      <c r="BE67" s="91" t="s">
        <v>1569</v>
      </c>
      <c r="BF67" s="91" t="s">
        <v>1569</v>
      </c>
      <c r="BG67" s="91" t="s">
        <v>1569</v>
      </c>
      <c r="BH67" s="91" t="s">
        <v>1569</v>
      </c>
      <c r="BI67" s="91" t="s">
        <v>1569</v>
      </c>
      <c r="BJ67" s="91" t="s">
        <v>1569</v>
      </c>
      <c r="BK67" s="91" t="s">
        <v>1569</v>
      </c>
      <c r="BL67" s="102"/>
    </row>
    <row r="68" spans="1:64" ht="15" customHeight="1" x14ac:dyDescent="0.15">
      <c r="B68" s="24" t="str">
        <f>VLOOKUP(BA68,trad_termini,ID_lingua,FALSE)</f>
        <v>Ring Gear</v>
      </c>
      <c r="C68" s="76" t="str">
        <f>IF(flg_chad,1,"-")</f>
        <v>-</v>
      </c>
      <c r="D68" s="76" t="str">
        <f>IF(flg_chad,45,"-")</f>
        <v>-</v>
      </c>
      <c r="E68" s="151" t="str">
        <f>IF(A65="X",E67,"-")</f>
        <v>-</v>
      </c>
      <c r="F68" s="223" t="str">
        <f>IF(flg_chad,CONCATENATE(IF(RIGHT(C48,3)="PNZ","013.","012."),"00.07.02.",TEXT(VLOOKUP(E67,catena_trasm_dati,3,FALSE),"00"),".",D68),"-")</f>
        <v>-</v>
      </c>
      <c r="G68" s="185"/>
      <c r="I68" s="147"/>
      <c r="J68" s="147"/>
      <c r="K68" s="224"/>
      <c r="L68" s="224"/>
      <c r="N68" s="117"/>
      <c r="P68" s="118"/>
      <c r="Q68" s="118"/>
      <c r="R68" s="118"/>
      <c r="S68" s="119"/>
      <c r="AZ68" s="102">
        <v>68</v>
      </c>
      <c r="BA68" s="91">
        <v>39</v>
      </c>
      <c r="BB68" s="91" t="s">
        <v>1569</v>
      </c>
      <c r="BC68" s="91" t="s">
        <v>1569</v>
      </c>
      <c r="BD68" s="91" t="s">
        <v>1569</v>
      </c>
      <c r="BE68" s="91" t="s">
        <v>1569</v>
      </c>
      <c r="BF68" s="91" t="s">
        <v>1569</v>
      </c>
      <c r="BG68" s="91" t="s">
        <v>1569</v>
      </c>
      <c r="BH68" s="91" t="s">
        <v>1569</v>
      </c>
      <c r="BI68" s="91" t="s">
        <v>1569</v>
      </c>
      <c r="BJ68" s="91" t="s">
        <v>1569</v>
      </c>
      <c r="BK68" s="91" t="s">
        <v>1569</v>
      </c>
      <c r="BL68" s="102"/>
    </row>
    <row r="69" spans="1:64" ht="9.9499999999999993" customHeight="1" x14ac:dyDescent="0.15">
      <c r="C69" s="91"/>
      <c r="D69" s="91"/>
      <c r="E69" s="152"/>
      <c r="F69" s="91"/>
      <c r="G69" s="91"/>
      <c r="H69" s="91"/>
      <c r="I69" s="91"/>
      <c r="J69" s="91"/>
      <c r="K69" s="91"/>
      <c r="L69" s="91"/>
      <c r="N69" s="117"/>
      <c r="P69" s="118"/>
      <c r="Q69" s="118"/>
      <c r="R69" s="118"/>
      <c r="S69" s="119"/>
      <c r="AZ69" s="102">
        <v>69</v>
      </c>
      <c r="BA69" s="91" t="s">
        <v>1569</v>
      </c>
      <c r="BB69" s="91" t="s">
        <v>1569</v>
      </c>
      <c r="BC69" s="91" t="s">
        <v>1569</v>
      </c>
      <c r="BD69" s="91" t="s">
        <v>1569</v>
      </c>
      <c r="BE69" s="91" t="s">
        <v>1569</v>
      </c>
      <c r="BF69" s="91" t="s">
        <v>1569</v>
      </c>
      <c r="BG69" s="91" t="s">
        <v>1569</v>
      </c>
      <c r="BH69" s="91" t="s">
        <v>1569</v>
      </c>
      <c r="BI69" s="91" t="s">
        <v>1569</v>
      </c>
      <c r="BJ69" s="91" t="s">
        <v>1569</v>
      </c>
      <c r="BK69" s="91" t="s">
        <v>1569</v>
      </c>
      <c r="BL69" s="102"/>
    </row>
    <row r="70" spans="1:64" ht="15" customHeight="1" x14ac:dyDescent="0.15">
      <c r="B70" s="24" t="str">
        <f>VLOOKUP(BA70,trad_termini,ID_lingua,FALSE)</f>
        <v>Ring Gear Hub</v>
      </c>
      <c r="C70" s="76" t="str">
        <f>IF(flg_chad,1,"-")</f>
        <v>-</v>
      </c>
      <c r="D70" s="91"/>
      <c r="E70" s="152"/>
      <c r="F70" s="223" t="str">
        <f>IF(flg_chad,CONCATENATE("012.","00",".07.","03.",IF(VLOOKUP(E67,catena_trasm_dati,3,FALSE)&lt;11,"10","20"),".",TEXT(C240,"00")),"-")</f>
        <v>-</v>
      </c>
      <c r="G70" s="185"/>
      <c r="H70" s="91"/>
      <c r="J70" s="91"/>
      <c r="K70" s="91"/>
      <c r="L70" s="91"/>
      <c r="N70" s="117"/>
      <c r="P70" s="118"/>
      <c r="Q70" s="118"/>
      <c r="R70" s="118"/>
      <c r="S70" s="119"/>
      <c r="Y70" s="91"/>
      <c r="Z70" s="91"/>
      <c r="AA70" s="91"/>
      <c r="AB70" s="91"/>
      <c r="AC70" s="91"/>
      <c r="AD70" s="91"/>
      <c r="AZ70" s="102">
        <v>70</v>
      </c>
      <c r="BA70" s="91">
        <v>124</v>
      </c>
      <c r="BB70" s="91" t="s">
        <v>1569</v>
      </c>
      <c r="BC70" s="91" t="s">
        <v>1569</v>
      </c>
      <c r="BD70" s="91" t="s">
        <v>1569</v>
      </c>
      <c r="BE70" s="91" t="s">
        <v>1569</v>
      </c>
      <c r="BF70" s="91" t="s">
        <v>1569</v>
      </c>
      <c r="BG70" s="91" t="s">
        <v>1569</v>
      </c>
      <c r="BH70" s="91" t="s">
        <v>1569</v>
      </c>
      <c r="BI70" s="91" t="s">
        <v>1569</v>
      </c>
      <c r="BJ70" s="91" t="s">
        <v>1569</v>
      </c>
      <c r="BK70" s="91" t="s">
        <v>1569</v>
      </c>
      <c r="BL70" s="102"/>
    </row>
    <row r="71" spans="1:64" ht="15" customHeight="1" x14ac:dyDescent="0.15">
      <c r="B71" s="24" t="str">
        <f>VLOOKUP(BA71,trad_termini,ID_lingua,FALSE)</f>
        <v>Arm</v>
      </c>
      <c r="C71" s="76" t="str">
        <f>IF(flg_chad,1,"-")</f>
        <v>-</v>
      </c>
      <c r="D71" s="91"/>
      <c r="E71" s="152"/>
      <c r="F71" s="184" t="s">
        <v>40</v>
      </c>
      <c r="G71" s="185"/>
      <c r="H71" s="91"/>
      <c r="I71" s="91"/>
      <c r="J71" s="91"/>
      <c r="K71" s="91"/>
      <c r="L71" s="91"/>
      <c r="N71" s="117"/>
      <c r="P71" s="118"/>
      <c r="Q71" s="118"/>
      <c r="R71" s="118"/>
      <c r="S71" s="119"/>
      <c r="AZ71" s="102">
        <v>71</v>
      </c>
      <c r="BA71" s="91">
        <v>13</v>
      </c>
      <c r="BB71" s="91" t="s">
        <v>1569</v>
      </c>
      <c r="BC71" s="91" t="s">
        <v>1569</v>
      </c>
      <c r="BD71" s="91" t="s">
        <v>1569</v>
      </c>
      <c r="BE71" s="91" t="s">
        <v>1569</v>
      </c>
      <c r="BF71" s="91" t="s">
        <v>1569</v>
      </c>
      <c r="BG71" s="91" t="s">
        <v>1569</v>
      </c>
      <c r="BH71" s="91" t="s">
        <v>1569</v>
      </c>
      <c r="BI71" s="91" t="s">
        <v>1569</v>
      </c>
      <c r="BJ71" s="91" t="s">
        <v>1569</v>
      </c>
      <c r="BK71" s="91" t="s">
        <v>1569</v>
      </c>
      <c r="BL71" s="102"/>
    </row>
    <row r="72" spans="1:64" ht="9.9499999999999993" customHeight="1" x14ac:dyDescent="0.15">
      <c r="C72" s="91"/>
      <c r="D72" s="91"/>
      <c r="E72" s="152"/>
      <c r="F72" s="91"/>
      <c r="G72" s="91"/>
      <c r="H72" s="91"/>
      <c r="I72" s="91"/>
      <c r="J72" s="91"/>
      <c r="K72" s="91"/>
      <c r="L72" s="91"/>
      <c r="N72" s="117"/>
      <c r="P72" s="118"/>
      <c r="Q72" s="118"/>
      <c r="R72" s="118"/>
      <c r="S72" s="119"/>
      <c r="Y72" s="145" t="s">
        <v>200</v>
      </c>
      <c r="AG72" s="145" t="s">
        <v>792</v>
      </c>
      <c r="AZ72" s="102">
        <v>72</v>
      </c>
      <c r="BA72" s="91" t="s">
        <v>1569</v>
      </c>
      <c r="BB72" s="91" t="s">
        <v>1569</v>
      </c>
      <c r="BC72" s="91" t="s">
        <v>1569</v>
      </c>
      <c r="BD72" s="91" t="s">
        <v>1569</v>
      </c>
      <c r="BE72" s="91" t="s">
        <v>1569</v>
      </c>
      <c r="BF72" s="91" t="s">
        <v>1569</v>
      </c>
      <c r="BG72" s="91" t="s">
        <v>1569</v>
      </c>
      <c r="BH72" s="91" t="s">
        <v>1569</v>
      </c>
      <c r="BI72" s="91" t="s">
        <v>1569</v>
      </c>
      <c r="BJ72" s="91" t="s">
        <v>1569</v>
      </c>
      <c r="BK72" s="91" t="s">
        <v>1569</v>
      </c>
      <c r="BL72" s="102"/>
    </row>
    <row r="73" spans="1:64" ht="15" customHeight="1" x14ac:dyDescent="0.15">
      <c r="B73" s="149" t="str">
        <f>VLOOKUP(BA73,trad_termini,ID_lingua,FALSE)</f>
        <v>Safety Device</v>
      </c>
      <c r="C73" s="91"/>
      <c r="D73" s="91"/>
      <c r="E73" s="152"/>
      <c r="F73" s="91"/>
      <c r="G73" s="91"/>
      <c r="H73" s="91"/>
      <c r="I73" s="91"/>
      <c r="J73" s="91"/>
      <c r="K73" s="91"/>
      <c r="L73" s="91"/>
      <c r="N73" s="117"/>
      <c r="P73" s="118"/>
      <c r="Q73" s="118"/>
      <c r="R73" s="118"/>
      <c r="S73" s="119"/>
      <c r="Y73" s="188" t="s">
        <v>228</v>
      </c>
      <c r="Z73" s="188"/>
      <c r="AA73" s="24" t="s">
        <v>231</v>
      </c>
      <c r="AB73" s="91" t="s">
        <v>232</v>
      </c>
      <c r="AC73" s="221" t="s">
        <v>235</v>
      </c>
      <c r="AD73" s="221"/>
      <c r="AE73" s="221"/>
      <c r="AH73" s="91">
        <v>4</v>
      </c>
      <c r="AI73" s="91">
        <v>2</v>
      </c>
      <c r="AZ73" s="102">
        <v>73</v>
      </c>
      <c r="BA73" s="91">
        <v>59</v>
      </c>
      <c r="BB73" s="91" t="s">
        <v>1569</v>
      </c>
      <c r="BC73" s="91" t="s">
        <v>1569</v>
      </c>
      <c r="BD73" s="91" t="s">
        <v>1569</v>
      </c>
      <c r="BE73" s="91" t="s">
        <v>1569</v>
      </c>
      <c r="BF73" s="91" t="s">
        <v>1569</v>
      </c>
      <c r="BG73" s="91" t="s">
        <v>1569</v>
      </c>
      <c r="BH73" s="91" t="s">
        <v>1569</v>
      </c>
      <c r="BI73" s="91" t="s">
        <v>1569</v>
      </c>
      <c r="BJ73" s="91" t="s">
        <v>1569</v>
      </c>
      <c r="BK73" s="91" t="s">
        <v>1569</v>
      </c>
      <c r="BL73" s="102"/>
    </row>
    <row r="74" spans="1:64" ht="15" customHeight="1" x14ac:dyDescent="0.15">
      <c r="C74" s="91" t="s">
        <v>236</v>
      </c>
      <c r="D74" s="91" t="s">
        <v>240</v>
      </c>
      <c r="E74" s="91" t="s">
        <v>241</v>
      </c>
      <c r="F74" s="91"/>
      <c r="G74" s="91" t="str">
        <f>VLOOKUP(BF74,trad_termini,ID_lingua,FALSE)</f>
        <v>Material</v>
      </c>
      <c r="J74" s="132" t="str">
        <f>VLOOKUP(BI74,trad_termini,ID_lingua,FALSE)</f>
        <v>Drawing</v>
      </c>
      <c r="K74" s="132" t="str">
        <f>VLOOKUP(BJ74,trad_termini,ID_lingua,FALSE)</f>
        <v>Main Pin Dia.</v>
      </c>
      <c r="L74" s="91"/>
      <c r="N74" s="117"/>
      <c r="P74" s="118"/>
      <c r="Q74" s="118"/>
      <c r="R74" s="118"/>
      <c r="S74" s="119"/>
      <c r="Y74" s="91" t="s">
        <v>229</v>
      </c>
      <c r="Z74" s="91" t="s">
        <v>145</v>
      </c>
      <c r="AA74" s="91" t="s">
        <v>230</v>
      </c>
      <c r="AB74" s="91" t="s">
        <v>233</v>
      </c>
      <c r="AC74" s="91" t="s">
        <v>201</v>
      </c>
      <c r="AD74" s="91" t="s">
        <v>234</v>
      </c>
      <c r="AE74" s="91" t="s">
        <v>236</v>
      </c>
      <c r="AG74" s="91" t="s">
        <v>241</v>
      </c>
      <c r="AH74" s="24" t="s">
        <v>794</v>
      </c>
      <c r="AI74" s="91" t="s">
        <v>23</v>
      </c>
      <c r="AZ74" s="102">
        <v>74</v>
      </c>
      <c r="BA74" s="91" t="s">
        <v>1569</v>
      </c>
      <c r="BB74" s="91" t="s">
        <v>1569</v>
      </c>
      <c r="BC74" s="91" t="s">
        <v>1569</v>
      </c>
      <c r="BD74" s="91" t="s">
        <v>1569</v>
      </c>
      <c r="BE74" s="91" t="s">
        <v>1569</v>
      </c>
      <c r="BF74" s="91">
        <v>103</v>
      </c>
      <c r="BG74" s="91" t="s">
        <v>1569</v>
      </c>
      <c r="BH74" s="91" t="s">
        <v>1569</v>
      </c>
      <c r="BI74" s="91">
        <v>57</v>
      </c>
      <c r="BJ74" s="91">
        <v>42</v>
      </c>
      <c r="BK74" s="91" t="s">
        <v>1569</v>
      </c>
      <c r="BL74" s="102"/>
    </row>
    <row r="75" spans="1:64" ht="15" customHeight="1" x14ac:dyDescent="0.15">
      <c r="B75" s="24" t="str">
        <f>VLOOKUP(BA75,trad_termini,ID_lingua,FALSE)</f>
        <v>Shear Pins</v>
      </c>
      <c r="C75" s="76" t="str">
        <f>IFERROR(IF(LEFT(C58,1)="R",AE75,"-"),"-")</f>
        <v>-</v>
      </c>
      <c r="D75" s="76" t="str">
        <f>IFERROR(C75+2,"-")</f>
        <v>-</v>
      </c>
      <c r="E75" s="76" t="str">
        <f>IFERROR(D75+2,"-")</f>
        <v>-</v>
      </c>
      <c r="F75" s="91"/>
      <c r="G75" s="154" t="s">
        <v>1731</v>
      </c>
      <c r="I75" s="24" t="str">
        <f>VLOOKUP(BH75,trad_termini,ID_lingua,FALSE)</f>
        <v>Device</v>
      </c>
      <c r="J75" s="76" t="str">
        <f>IFERROR(IF(flg_chad=1,AI75,"-"),"-")</f>
        <v>-</v>
      </c>
      <c r="K75" s="76" t="str">
        <f>IFERROR(IF(flg_chad=1,AH75,"-"),"-")</f>
        <v>-</v>
      </c>
      <c r="L75" s="91"/>
      <c r="N75" s="124" t="str">
        <f>IF(AND(flg_gmot=0,E75="-"),VLOOKUP(BL75,trad_termini,ID_lingua,FALSE),"")</f>
        <v/>
      </c>
      <c r="P75" s="118"/>
      <c r="Q75" s="118"/>
      <c r="R75" s="118"/>
      <c r="S75" s="119"/>
      <c r="Y75" s="136">
        <f>CEILING(E58*1000/(2*PI()*F58/60),10)</f>
        <v>11050</v>
      </c>
      <c r="Z75" s="76">
        <f>IF(LEFT(C58,1)="K",Cmax,Cmax*D68/D67)</f>
        <v>11050</v>
      </c>
      <c r="AA75" s="76">
        <v>1.9</v>
      </c>
      <c r="AB75" s="136">
        <f>Z75*AA75</f>
        <v>20995</v>
      </c>
      <c r="AC75" s="155" t="str">
        <f>G75</f>
        <v>39NiCrMo3</v>
      </c>
      <c r="AD75" s="76">
        <f>IF(AC75="Cl. 8.8",800,IF(AC75="39NiCrMo3",880,0))</f>
        <v>880</v>
      </c>
      <c r="AE75" s="76">
        <f>IF(LEFT(C58,1)="K",0,CEILING(SQRT(1000*4*AB75/(PI()*AD75*150)),0.5))</f>
        <v>0</v>
      </c>
      <c r="AG75" s="76" t="str">
        <f>E75</f>
        <v>-</v>
      </c>
      <c r="AH75" s="76" t="e">
        <f>IF(AND(catena_tipo="D",D_max_spina&lt;=20),30,VLOOKUP("&gt;",disp_tranc,4,FALSE))</f>
        <v>#N/A</v>
      </c>
      <c r="AI75" s="76" t="e">
        <f>VLOOKUP(VLOOKUP("&gt;",disp_tranc,2,FALSE),disp_tranc_opt,2,FALSE)</f>
        <v>#N/A</v>
      </c>
      <c r="AZ75" s="102">
        <v>75</v>
      </c>
      <c r="BA75" s="91">
        <v>156</v>
      </c>
      <c r="BB75" s="91" t="s">
        <v>1569</v>
      </c>
      <c r="BC75" s="91" t="s">
        <v>1569</v>
      </c>
      <c r="BD75" s="91" t="s">
        <v>1569</v>
      </c>
      <c r="BE75" s="91" t="s">
        <v>1569</v>
      </c>
      <c r="BF75" s="91" t="s">
        <v>1569</v>
      </c>
      <c r="BG75" s="91" t="s">
        <v>1569</v>
      </c>
      <c r="BH75" s="91">
        <v>58</v>
      </c>
      <c r="BI75" s="91" t="s">
        <v>1569</v>
      </c>
      <c r="BJ75" s="91" t="s">
        <v>1569</v>
      </c>
      <c r="BK75" s="91" t="s">
        <v>1569</v>
      </c>
      <c r="BL75" s="102" t="s">
        <v>1954</v>
      </c>
    </row>
    <row r="76" spans="1:64" ht="9.9499999999999993" customHeight="1" x14ac:dyDescent="0.15">
      <c r="C76" s="91"/>
      <c r="D76" s="91"/>
      <c r="E76" s="152"/>
      <c r="F76" s="91"/>
      <c r="G76" s="91"/>
      <c r="H76" s="91"/>
      <c r="I76" s="91"/>
      <c r="J76" s="91"/>
      <c r="K76" s="91"/>
      <c r="L76" s="91"/>
      <c r="N76" s="117"/>
      <c r="P76" s="118"/>
      <c r="Q76" s="118"/>
      <c r="R76" s="118"/>
      <c r="S76" s="119"/>
      <c r="Y76" s="91"/>
      <c r="Z76" s="91"/>
      <c r="AA76" s="91"/>
      <c r="AB76" s="91"/>
      <c r="AC76" s="91"/>
      <c r="AD76" s="91"/>
      <c r="AZ76" s="102">
        <v>76</v>
      </c>
      <c r="BA76" s="91" t="s">
        <v>1569</v>
      </c>
      <c r="BB76" s="91" t="s">
        <v>1569</v>
      </c>
      <c r="BC76" s="91" t="s">
        <v>1569</v>
      </c>
      <c r="BD76" s="91" t="s">
        <v>1569</v>
      </c>
      <c r="BE76" s="91" t="s">
        <v>1569</v>
      </c>
      <c r="BF76" s="91" t="s">
        <v>1569</v>
      </c>
      <c r="BG76" s="91" t="s">
        <v>1569</v>
      </c>
      <c r="BH76" s="91" t="s">
        <v>1569</v>
      </c>
      <c r="BI76" s="91" t="s">
        <v>1569</v>
      </c>
      <c r="BJ76" s="91" t="s">
        <v>1569</v>
      </c>
      <c r="BK76" s="91" t="s">
        <v>1569</v>
      </c>
      <c r="BL76" s="102"/>
    </row>
    <row r="77" spans="1:64" ht="15" customHeight="1" x14ac:dyDescent="0.15">
      <c r="B77" s="142" t="str">
        <f>VLOOKUP(BA77,trad_termini,ID_lingua,FALSE)</f>
        <v>Return Head</v>
      </c>
      <c r="C77" s="91"/>
      <c r="D77" s="91"/>
      <c r="E77" s="152"/>
      <c r="F77" s="91"/>
      <c r="G77" s="91"/>
      <c r="H77" s="91"/>
      <c r="I77" s="91"/>
      <c r="J77" s="91"/>
      <c r="K77" s="91"/>
      <c r="L77" s="91"/>
      <c r="N77" s="117"/>
      <c r="P77" s="118"/>
      <c r="Q77" s="118"/>
      <c r="R77" s="118"/>
      <c r="S77" s="119"/>
      <c r="Y77" s="91"/>
      <c r="Z77" s="91"/>
      <c r="AA77" s="91"/>
      <c r="AB77" s="91"/>
      <c r="AC77" s="91"/>
      <c r="AD77" s="91"/>
      <c r="AZ77" s="102">
        <v>77</v>
      </c>
      <c r="BA77" s="91">
        <v>138</v>
      </c>
      <c r="BB77" s="91" t="s">
        <v>1569</v>
      </c>
      <c r="BC77" s="91" t="s">
        <v>1569</v>
      </c>
      <c r="BD77" s="91" t="s">
        <v>1569</v>
      </c>
      <c r="BE77" s="91" t="s">
        <v>1569</v>
      </c>
      <c r="BF77" s="91" t="s">
        <v>1569</v>
      </c>
      <c r="BG77" s="91" t="s">
        <v>1569</v>
      </c>
      <c r="BH77" s="91" t="s">
        <v>1569</v>
      </c>
      <c r="BI77" s="91" t="s">
        <v>1569</v>
      </c>
      <c r="BJ77" s="91" t="s">
        <v>1569</v>
      </c>
      <c r="BK77" s="91" t="s">
        <v>1569</v>
      </c>
      <c r="BL77" s="102"/>
    </row>
    <row r="78" spans="1:64" ht="15" customHeight="1" x14ac:dyDescent="0.15">
      <c r="B78" s="156"/>
      <c r="C78" s="91"/>
      <c r="D78" s="91"/>
      <c r="E78" s="152"/>
      <c r="F78" s="91"/>
      <c r="G78" s="91"/>
      <c r="H78" s="91"/>
      <c r="I78" s="91"/>
      <c r="J78" s="91"/>
      <c r="K78" s="91"/>
      <c r="L78" s="91"/>
      <c r="N78" s="117"/>
      <c r="P78" s="118"/>
      <c r="Q78" s="118"/>
      <c r="R78" s="118"/>
      <c r="S78" s="119"/>
      <c r="Y78" s="91"/>
      <c r="Z78" s="91"/>
      <c r="AA78" s="91"/>
      <c r="AB78" s="91"/>
      <c r="AC78" s="91"/>
      <c r="AD78" s="91"/>
      <c r="AZ78" s="102">
        <v>78</v>
      </c>
      <c r="BA78" s="91" t="s">
        <v>1569</v>
      </c>
      <c r="BB78" s="91" t="s">
        <v>1569</v>
      </c>
      <c r="BC78" s="91" t="s">
        <v>1569</v>
      </c>
      <c r="BD78" s="91" t="s">
        <v>1569</v>
      </c>
      <c r="BE78" s="91" t="s">
        <v>1569</v>
      </c>
      <c r="BF78" s="91" t="s">
        <v>1569</v>
      </c>
      <c r="BG78" s="91" t="s">
        <v>1569</v>
      </c>
      <c r="BH78" s="91" t="s">
        <v>1569</v>
      </c>
      <c r="BI78" s="91" t="s">
        <v>1569</v>
      </c>
      <c r="BJ78" s="91" t="s">
        <v>1569</v>
      </c>
      <c r="BK78" s="91" t="s">
        <v>1569</v>
      </c>
      <c r="BL78" s="102"/>
    </row>
    <row r="79" spans="1:64" ht="15" customHeight="1" x14ac:dyDescent="0.15">
      <c r="B79" s="132" t="str">
        <f>VLOOKUP(BA79,trad_termini,ID_lingua,FALSE)</f>
        <v>Qty</v>
      </c>
      <c r="C79" s="188" t="str">
        <f>VLOOKUP(BB79,trad_termini,ID_lingua,FALSE)</f>
        <v>Type</v>
      </c>
      <c r="D79" s="188"/>
      <c r="E79" s="91" t="s">
        <v>102</v>
      </c>
      <c r="F79" s="91" t="s">
        <v>103</v>
      </c>
      <c r="G79" s="132" t="str">
        <f>VLOOKUP(BF79,trad_termini,ID_lingua,FALSE)</f>
        <v>Arrangement</v>
      </c>
      <c r="H79" s="91" t="s">
        <v>105</v>
      </c>
      <c r="I79" s="91" t="s">
        <v>106</v>
      </c>
      <c r="J79" s="91" t="s">
        <v>107</v>
      </c>
      <c r="K79" s="132" t="str">
        <f>VLOOKUP(BJ79,trad_termini,ID_lingua,FALSE)</f>
        <v>Insul. Class</v>
      </c>
      <c r="L79" s="132" t="str">
        <f>VLOOKUP(BK79,trad_termini,ID_lingua,FALSE)</f>
        <v>Heater (V)</v>
      </c>
      <c r="N79" s="117"/>
      <c r="P79" s="118"/>
      <c r="Q79" s="118"/>
      <c r="R79" s="118"/>
      <c r="S79" s="119"/>
      <c r="Y79" s="91"/>
      <c r="Z79" s="91"/>
      <c r="AA79" s="91"/>
      <c r="AB79" s="91"/>
      <c r="AC79" s="91"/>
      <c r="AD79" s="91"/>
      <c r="AZ79" s="102">
        <v>79</v>
      </c>
      <c r="BA79" s="91">
        <v>128</v>
      </c>
      <c r="BB79" s="91">
        <v>168</v>
      </c>
      <c r="BC79" s="91" t="s">
        <v>1569</v>
      </c>
      <c r="BD79" s="91" t="s">
        <v>1569</v>
      </c>
      <c r="BE79" s="91" t="s">
        <v>1569</v>
      </c>
      <c r="BF79" s="91">
        <v>71</v>
      </c>
      <c r="BG79" s="91" t="s">
        <v>1569</v>
      </c>
      <c r="BH79" s="91" t="s">
        <v>1569</v>
      </c>
      <c r="BI79" s="91" t="s">
        <v>1569</v>
      </c>
      <c r="BJ79" s="91">
        <v>21</v>
      </c>
      <c r="BK79" s="91">
        <v>132</v>
      </c>
      <c r="BL79" s="102"/>
    </row>
    <row r="80" spans="1:64" ht="15" customHeight="1" x14ac:dyDescent="0.15">
      <c r="B80" s="75">
        <v>1</v>
      </c>
      <c r="C80" s="197" t="str">
        <f>IF(AND(B80&lt;&gt;"-",G92="SI"),"KH87","-")</f>
        <v>-</v>
      </c>
      <c r="D80" s="197"/>
      <c r="E80" s="75" t="str">
        <f>IF(AND(B80&lt;&gt;"-",G92="SI"),4,"-")</f>
        <v>-</v>
      </c>
      <c r="F80" s="75" t="str">
        <f>IF(AND(B80&lt;&gt;"-",G92="SI",I58=50),17,IF(AND(B80&lt;&gt;"-",G92="SI",I58=60),15,"-"))</f>
        <v>-</v>
      </c>
      <c r="G80" s="75" t="str">
        <f>IF(AND(B80&lt;&gt;"-",G92="SI"),"M4","-")</f>
        <v>-</v>
      </c>
      <c r="H80" s="75">
        <f>H58</f>
        <v>400</v>
      </c>
      <c r="I80" s="75">
        <f>I58</f>
        <v>50</v>
      </c>
      <c r="J80" s="75" t="str">
        <f>J58</f>
        <v>IP 55</v>
      </c>
      <c r="K80" s="75" t="str">
        <f>K58</f>
        <v>F</v>
      </c>
      <c r="L80" s="75" t="s">
        <v>40</v>
      </c>
      <c r="N80" s="117"/>
      <c r="P80" s="118"/>
      <c r="Q80" s="118"/>
      <c r="R80" s="118"/>
      <c r="S80" s="119"/>
      <c r="Y80" s="91"/>
      <c r="Z80" s="91"/>
      <c r="AA80" s="91"/>
      <c r="AB80" s="91"/>
      <c r="AC80" s="91"/>
      <c r="AD80" s="91"/>
      <c r="AZ80" s="102">
        <v>80</v>
      </c>
      <c r="BA80" s="91" t="s">
        <v>1569</v>
      </c>
      <c r="BB80" s="91" t="s">
        <v>1569</v>
      </c>
      <c r="BC80" s="91" t="s">
        <v>1569</v>
      </c>
      <c r="BD80" s="91" t="s">
        <v>1569</v>
      </c>
      <c r="BE80" s="91" t="s">
        <v>1569</v>
      </c>
      <c r="BF80" s="91" t="s">
        <v>1569</v>
      </c>
      <c r="BG80" s="91" t="s">
        <v>1569</v>
      </c>
      <c r="BH80" s="91" t="s">
        <v>1569</v>
      </c>
      <c r="BI80" s="91" t="s">
        <v>1569</v>
      </c>
      <c r="BJ80" s="91" t="s">
        <v>1569</v>
      </c>
      <c r="BK80" s="91" t="s">
        <v>1569</v>
      </c>
      <c r="BL80" s="102"/>
    </row>
    <row r="81" spans="2:64" ht="15" customHeight="1" x14ac:dyDescent="0.15">
      <c r="B81" s="91"/>
      <c r="C81" s="224" t="str">
        <f>VLOOKUP(BB81,trad_termini,ID_lingua,FALSE)</f>
        <v>Manufacturer's ID</v>
      </c>
      <c r="D81" s="224"/>
      <c r="E81" s="224"/>
      <c r="F81" s="224"/>
      <c r="G81" s="224"/>
      <c r="H81" s="91"/>
      <c r="I81" s="91"/>
      <c r="J81" s="91"/>
      <c r="K81" s="91"/>
      <c r="L81" s="91"/>
      <c r="N81" s="117"/>
      <c r="P81" s="118"/>
      <c r="Q81" s="118"/>
      <c r="R81" s="118"/>
      <c r="S81" s="119"/>
      <c r="Y81" s="91"/>
      <c r="Z81" s="91"/>
      <c r="AA81" s="91"/>
      <c r="AB81" s="91"/>
      <c r="AC81" s="91"/>
      <c r="AD81" s="91"/>
      <c r="AZ81" s="102">
        <v>81</v>
      </c>
      <c r="BA81" s="91" t="s">
        <v>1569</v>
      </c>
      <c r="BB81" s="91">
        <v>25</v>
      </c>
      <c r="BC81" s="91" t="s">
        <v>1569</v>
      </c>
      <c r="BD81" s="91" t="s">
        <v>1569</v>
      </c>
      <c r="BE81" s="91" t="s">
        <v>1569</v>
      </c>
      <c r="BF81" s="91" t="s">
        <v>1569</v>
      </c>
      <c r="BG81" s="91" t="s">
        <v>1569</v>
      </c>
      <c r="BH81" s="91" t="s">
        <v>1569</v>
      </c>
      <c r="BI81" s="91" t="s">
        <v>1569</v>
      </c>
      <c r="BJ81" s="91" t="s">
        <v>1569</v>
      </c>
      <c r="BK81" s="91" t="s">
        <v>1569</v>
      </c>
      <c r="BL81" s="102"/>
    </row>
    <row r="82" spans="2:64" ht="15" customHeight="1" x14ac:dyDescent="0.15">
      <c r="B82" s="91"/>
      <c r="C82" s="194" t="s">
        <v>40</v>
      </c>
      <c r="D82" s="211"/>
      <c r="E82" s="211"/>
      <c r="F82" s="211"/>
      <c r="G82" s="195"/>
      <c r="H82" s="91"/>
      <c r="I82" s="24" t="str">
        <f>VLOOKUP(BH82,trad_termini,ID_lingua,FALSE)</f>
        <v>Supplied by</v>
      </c>
      <c r="J82" s="75" t="s">
        <v>809</v>
      </c>
      <c r="K82" s="91"/>
      <c r="L82" s="91"/>
      <c r="N82" s="117"/>
      <c r="P82" s="118"/>
      <c r="Q82" s="118"/>
      <c r="R82" s="118"/>
      <c r="S82" s="119"/>
      <c r="Y82" s="91"/>
      <c r="Z82" s="91"/>
      <c r="AA82" s="91"/>
      <c r="AB82" s="91"/>
      <c r="AC82" s="91"/>
      <c r="AD82" s="91"/>
      <c r="AZ82" s="102">
        <v>82</v>
      </c>
      <c r="BA82" s="91" t="s">
        <v>1569</v>
      </c>
      <c r="BB82" s="91" t="s">
        <v>1569</v>
      </c>
      <c r="BC82" s="91" t="s">
        <v>1569</v>
      </c>
      <c r="BD82" s="91" t="s">
        <v>1569</v>
      </c>
      <c r="BE82" s="91" t="s">
        <v>1569</v>
      </c>
      <c r="BF82" s="91" t="s">
        <v>1569</v>
      </c>
      <c r="BG82" s="91" t="s">
        <v>1569</v>
      </c>
      <c r="BH82" s="91">
        <v>74</v>
      </c>
      <c r="BI82" s="138" t="s">
        <v>1569</v>
      </c>
      <c r="BJ82" s="91" t="s">
        <v>1569</v>
      </c>
      <c r="BK82" s="91" t="s">
        <v>1569</v>
      </c>
      <c r="BL82" s="102"/>
    </row>
    <row r="83" spans="2:64" ht="15" customHeight="1" x14ac:dyDescent="0.15">
      <c r="B83" s="91"/>
      <c r="C83" s="91"/>
      <c r="D83" s="91"/>
      <c r="E83" s="91"/>
      <c r="F83" s="91"/>
      <c r="G83" s="91"/>
      <c r="H83" s="91"/>
      <c r="I83" s="91"/>
      <c r="J83" s="91"/>
      <c r="K83" s="91"/>
      <c r="L83" s="91"/>
      <c r="N83" s="117"/>
      <c r="P83" s="118"/>
      <c r="Q83" s="118"/>
      <c r="R83" s="118"/>
      <c r="S83" s="119"/>
      <c r="Y83" s="91"/>
      <c r="Z83" s="91"/>
      <c r="AA83" s="91"/>
      <c r="AB83" s="91"/>
      <c r="AC83" s="91"/>
      <c r="AD83" s="91"/>
      <c r="AZ83" s="102">
        <v>83</v>
      </c>
      <c r="BA83" s="91" t="s">
        <v>1569</v>
      </c>
      <c r="BB83" s="91" t="s">
        <v>1569</v>
      </c>
      <c r="BC83" s="91" t="s">
        <v>1569</v>
      </c>
      <c r="BD83" s="91" t="s">
        <v>1569</v>
      </c>
      <c r="BE83" s="91" t="s">
        <v>1569</v>
      </c>
      <c r="BF83" s="91" t="s">
        <v>1569</v>
      </c>
      <c r="BG83" s="91" t="s">
        <v>1569</v>
      </c>
      <c r="BH83" s="91" t="s">
        <v>1569</v>
      </c>
      <c r="BI83" s="91" t="s">
        <v>1569</v>
      </c>
      <c r="BJ83" s="91" t="s">
        <v>1569</v>
      </c>
      <c r="BK83" s="91" t="s">
        <v>1569</v>
      </c>
      <c r="BL83" s="102"/>
    </row>
    <row r="84" spans="2:64" ht="15" customHeight="1" x14ac:dyDescent="0.15">
      <c r="B84" s="188" t="str">
        <f>VLOOKUP(BA84,trad_termini,ID_lingua,FALSE)</f>
        <v>Lubrication</v>
      </c>
      <c r="C84" s="188"/>
      <c r="D84" s="188" t="str">
        <f>VLOOKUP(BC84,trad_termini,ID_lingua,FALSE)</f>
        <v>Ambient Temp.</v>
      </c>
      <c r="E84" s="188"/>
      <c r="F84" s="132" t="str">
        <f>VLOOKUP(BE84,trad_termini,ID_lingua,FALSE)</f>
        <v>Oil Type</v>
      </c>
      <c r="I84" s="132" t="str">
        <f>VLOOKUP(BH84,trad_termini,ID_lingua,FALSE)</f>
        <v>Inst. Side</v>
      </c>
      <c r="J84" s="91" t="s">
        <v>194</v>
      </c>
      <c r="K84" s="91" t="s">
        <v>195</v>
      </c>
      <c r="L84" s="132" t="str">
        <f>VLOOKUP(BK84,trad_termini,ID_lingua,FALSE)</f>
        <v>Forced Cooling</v>
      </c>
      <c r="N84" s="117"/>
      <c r="P84" s="118"/>
      <c r="Q84" s="118"/>
      <c r="R84" s="118"/>
      <c r="S84" s="119"/>
      <c r="Y84" s="91"/>
      <c r="Z84" s="91"/>
      <c r="AA84" s="91"/>
      <c r="AB84" s="91"/>
      <c r="AC84" s="91"/>
      <c r="AD84" s="91"/>
      <c r="AZ84" s="102">
        <v>84</v>
      </c>
      <c r="BA84" s="91">
        <v>96</v>
      </c>
      <c r="BB84" s="91" t="s">
        <v>1569</v>
      </c>
      <c r="BC84" s="91">
        <v>161</v>
      </c>
      <c r="BD84" s="91" t="s">
        <v>1569</v>
      </c>
      <c r="BE84" s="91">
        <v>171</v>
      </c>
      <c r="BF84" s="91" t="s">
        <v>1569</v>
      </c>
      <c r="BG84" s="91" t="s">
        <v>1569</v>
      </c>
      <c r="BH84" s="91">
        <v>93</v>
      </c>
      <c r="BI84" s="91" t="s">
        <v>1569</v>
      </c>
      <c r="BJ84" s="91" t="s">
        <v>1569</v>
      </c>
      <c r="BK84" s="91">
        <v>147</v>
      </c>
      <c r="BL84" s="102"/>
    </row>
    <row r="85" spans="2:64" ht="15" customHeight="1" x14ac:dyDescent="0.15">
      <c r="B85" s="197" t="str">
        <f>IF(AND(B80&lt;&gt;"-",G92=VLOOKUP("D01",trad_termini,ID_lingua,FALSE)),B63,"-")</f>
        <v>-</v>
      </c>
      <c r="C85" s="197"/>
      <c r="D85" s="196" t="str">
        <f>IF(AND(B80&lt;&gt;"-",G92=VLOOKUP("D01",trad_termini,ID_lingua,FALSE)),D63,"-")</f>
        <v>-</v>
      </c>
      <c r="E85" s="196"/>
      <c r="F85" s="76" t="str">
        <f>IF(AND(B80&lt;&gt;"-",G92=VLOOKUP("D01",trad_termini,ID_lingua,FALSE)),F63,"-")</f>
        <v>-</v>
      </c>
      <c r="I85" s="75" t="s">
        <v>1730</v>
      </c>
      <c r="J85" s="75" t="s">
        <v>72</v>
      </c>
      <c r="K85" s="75" t="s">
        <v>1701</v>
      </c>
      <c r="L85" s="75" t="s">
        <v>40</v>
      </c>
      <c r="N85" s="117"/>
      <c r="P85" s="118"/>
      <c r="Q85" s="118"/>
      <c r="R85" s="118"/>
      <c r="S85" s="119"/>
      <c r="Y85" s="91"/>
      <c r="Z85" s="91"/>
      <c r="AA85" s="91"/>
      <c r="AB85" s="91"/>
      <c r="AC85" s="91"/>
      <c r="AD85" s="91"/>
      <c r="AZ85" s="102">
        <v>85</v>
      </c>
      <c r="BA85" s="91" t="s">
        <v>1569</v>
      </c>
      <c r="BB85" s="91" t="s">
        <v>1569</v>
      </c>
      <c r="BC85" s="91" t="s">
        <v>1569</v>
      </c>
      <c r="BD85" s="91" t="s">
        <v>1569</v>
      </c>
      <c r="BE85" s="91" t="s">
        <v>1569</v>
      </c>
      <c r="BF85" s="91" t="s">
        <v>1569</v>
      </c>
      <c r="BG85" s="91" t="s">
        <v>1569</v>
      </c>
      <c r="BH85" s="138" t="s">
        <v>1569</v>
      </c>
      <c r="BI85" s="138" t="s">
        <v>1569</v>
      </c>
      <c r="BJ85" s="138" t="s">
        <v>1569</v>
      </c>
      <c r="BK85" s="138" t="s">
        <v>1569</v>
      </c>
      <c r="BL85" s="102"/>
    </row>
    <row r="86" spans="2:64" ht="15" customHeight="1" x14ac:dyDescent="0.15">
      <c r="C86" s="91"/>
      <c r="D86" s="91"/>
      <c r="E86" s="152"/>
      <c r="F86" s="91"/>
      <c r="G86" s="91"/>
      <c r="H86" s="91"/>
      <c r="I86" s="91"/>
      <c r="J86" s="91"/>
      <c r="K86" s="91"/>
      <c r="L86" s="91"/>
      <c r="N86" s="117"/>
      <c r="P86" s="118"/>
      <c r="Q86" s="118"/>
      <c r="R86" s="118"/>
      <c r="S86" s="119"/>
      <c r="U86" s="24" t="s">
        <v>2073</v>
      </c>
      <c r="Y86" s="91"/>
      <c r="Z86" s="91"/>
      <c r="AA86" s="91"/>
      <c r="AB86" s="91"/>
      <c r="AC86" s="91"/>
      <c r="AD86" s="91"/>
      <c r="AZ86" s="102">
        <v>86</v>
      </c>
      <c r="BA86" s="91" t="s">
        <v>1569</v>
      </c>
      <c r="BB86" s="91" t="s">
        <v>1569</v>
      </c>
      <c r="BC86" s="91" t="s">
        <v>1569</v>
      </c>
      <c r="BD86" s="91" t="s">
        <v>1569</v>
      </c>
      <c r="BE86" s="91" t="s">
        <v>1569</v>
      </c>
      <c r="BF86" s="91" t="s">
        <v>1569</v>
      </c>
      <c r="BG86" s="91" t="s">
        <v>1569</v>
      </c>
      <c r="BH86" s="91" t="s">
        <v>1569</v>
      </c>
      <c r="BI86" s="91" t="s">
        <v>1569</v>
      </c>
      <c r="BJ86" s="91" t="s">
        <v>1569</v>
      </c>
      <c r="BK86" s="91" t="s">
        <v>1569</v>
      </c>
      <c r="BL86" s="102"/>
    </row>
    <row r="87" spans="2:64" ht="15" customHeight="1" x14ac:dyDescent="0.15">
      <c r="B87" s="146" t="str">
        <f>VLOOKUP(BA87,trad_termini,ID_lingua,FALSE)</f>
        <v>Conveying Sections</v>
      </c>
      <c r="C87" s="91"/>
      <c r="D87" s="91"/>
      <c r="E87" s="152"/>
      <c r="F87" s="91"/>
      <c r="G87" s="91"/>
      <c r="H87" s="91"/>
      <c r="I87" s="91"/>
      <c r="J87" s="91"/>
      <c r="K87" s="91"/>
      <c r="L87" s="91"/>
      <c r="N87" s="117"/>
      <c r="P87" s="118"/>
      <c r="Q87" s="118"/>
      <c r="R87" s="118"/>
      <c r="S87" s="119"/>
      <c r="Y87" s="91"/>
      <c r="Z87" s="91"/>
      <c r="AA87" s="91"/>
      <c r="AB87" s="91"/>
      <c r="AC87" s="91"/>
      <c r="AD87" s="91"/>
      <c r="AZ87" s="102">
        <v>87</v>
      </c>
      <c r="BA87" s="91">
        <v>149</v>
      </c>
      <c r="BB87" s="91" t="s">
        <v>1569</v>
      </c>
      <c r="BC87" s="91" t="s">
        <v>1569</v>
      </c>
      <c r="BD87" s="91" t="s">
        <v>1569</v>
      </c>
      <c r="BE87" s="91" t="s">
        <v>1569</v>
      </c>
      <c r="BF87" s="91" t="s">
        <v>1569</v>
      </c>
      <c r="BG87" s="91" t="s">
        <v>1569</v>
      </c>
      <c r="BH87" s="91" t="s">
        <v>1569</v>
      </c>
      <c r="BI87" s="91" t="s">
        <v>1569</v>
      </c>
      <c r="BJ87" s="91" t="s">
        <v>1569</v>
      </c>
      <c r="BK87" s="91" t="s">
        <v>1569</v>
      </c>
      <c r="BL87" s="102"/>
    </row>
    <row r="88" spans="2:64" ht="15" customHeight="1" x14ac:dyDescent="0.15">
      <c r="B88" s="142" t="str">
        <f>VLOOKUP(BA88,trad_termini,ID_lingua,FALSE)</f>
        <v>End Stations</v>
      </c>
      <c r="C88" s="91"/>
      <c r="D88" s="91"/>
      <c r="E88" s="152"/>
      <c r="F88" s="91"/>
      <c r="G88" s="91"/>
      <c r="H88" s="91"/>
      <c r="I88" s="91"/>
      <c r="J88" s="91"/>
      <c r="K88" s="91"/>
      <c r="L88" s="91"/>
      <c r="N88" s="117"/>
      <c r="P88" s="118"/>
      <c r="Q88" s="118"/>
      <c r="R88" s="118"/>
      <c r="S88" s="119"/>
      <c r="Y88" s="91"/>
      <c r="Z88" s="91"/>
      <c r="AC88" s="91"/>
      <c r="AD88" s="91"/>
      <c r="AZ88" s="102">
        <v>88</v>
      </c>
      <c r="BA88" s="91">
        <v>167</v>
      </c>
      <c r="BB88" s="91" t="s">
        <v>1569</v>
      </c>
      <c r="BC88" s="91" t="s">
        <v>1569</v>
      </c>
      <c r="BD88" s="91" t="s">
        <v>1569</v>
      </c>
      <c r="BE88" s="91" t="s">
        <v>1569</v>
      </c>
      <c r="BF88" s="91" t="s">
        <v>1569</v>
      </c>
      <c r="BG88" s="91" t="s">
        <v>1569</v>
      </c>
      <c r="BH88" s="91" t="s">
        <v>1569</v>
      </c>
      <c r="BI88" s="91" t="s">
        <v>1569</v>
      </c>
      <c r="BJ88" s="91" t="s">
        <v>1569</v>
      </c>
      <c r="BK88" s="91" t="s">
        <v>1569</v>
      </c>
      <c r="BL88" s="102"/>
    </row>
    <row r="89" spans="2:64" ht="15" customHeight="1" x14ac:dyDescent="0.15">
      <c r="C89" s="132" t="str">
        <f>VLOOKUP(BB89,trad_termini,ID_lingua,FALSE)</f>
        <v>Qty</v>
      </c>
      <c r="D89" s="188" t="str">
        <f>VLOOKUP(BC89,trad_termini,ID_lingua,FALSE)</f>
        <v>Drawing</v>
      </c>
      <c r="E89" s="188"/>
      <c r="F89" s="91"/>
      <c r="G89" s="132" t="str">
        <f>VLOOKUP(BF89,trad_termini,ID_lingua,FALSE)</f>
        <v>Slope</v>
      </c>
      <c r="H89" s="91"/>
      <c r="I89" s="91"/>
      <c r="J89" s="91"/>
      <c r="K89" s="91"/>
      <c r="L89" s="91"/>
      <c r="N89" s="117"/>
      <c r="P89" s="118"/>
      <c r="Q89" s="118"/>
      <c r="R89" s="118"/>
      <c r="S89" s="119"/>
      <c r="T89" s="157" t="s">
        <v>1662</v>
      </c>
      <c r="Y89" s="91" t="s">
        <v>302</v>
      </c>
      <c r="Z89" s="91"/>
      <c r="AA89" s="91" t="s">
        <v>1599</v>
      </c>
      <c r="AB89" s="188" t="s">
        <v>1600</v>
      </c>
      <c r="AC89" s="188"/>
      <c r="AD89" s="91"/>
      <c r="AZ89" s="102">
        <v>89</v>
      </c>
      <c r="BA89" s="91" t="s">
        <v>1569</v>
      </c>
      <c r="BB89" s="91">
        <v>128</v>
      </c>
      <c r="BC89" s="91">
        <v>57</v>
      </c>
      <c r="BD89" s="91" t="s">
        <v>1569</v>
      </c>
      <c r="BE89" s="91" t="s">
        <v>1569</v>
      </c>
      <c r="BF89" s="91">
        <v>84</v>
      </c>
      <c r="BG89" s="91" t="s">
        <v>1569</v>
      </c>
      <c r="BH89" s="91" t="s">
        <v>1569</v>
      </c>
      <c r="BI89" s="91" t="s">
        <v>1569</v>
      </c>
      <c r="BJ89" s="91" t="s">
        <v>1569</v>
      </c>
      <c r="BK89" s="91" t="s">
        <v>1569</v>
      </c>
      <c r="BL89" s="102"/>
    </row>
    <row r="90" spans="2:64" ht="15" customHeight="1" x14ac:dyDescent="0.15">
      <c r="B90" s="24" t="str">
        <f>VLOOKUP(BA90,trad_termini,ID_lingua,FALSE)</f>
        <v>Driving Head</v>
      </c>
      <c r="C90" s="76">
        <v>1</v>
      </c>
      <c r="D90" s="184" t="str">
        <f>IFERROR(AB90,"-")</f>
        <v>024.40.02.51.35.00.J</v>
      </c>
      <c r="E90" s="185"/>
      <c r="F90" s="91"/>
      <c r="G90" s="76">
        <f>IF(macchina_tipo="H",incl,ang_disc)</f>
        <v>5</v>
      </c>
      <c r="H90" s="91"/>
      <c r="I90" s="91"/>
      <c r="J90" s="91"/>
      <c r="K90" s="91"/>
      <c r="L90" s="91"/>
      <c r="N90" s="117" t="str">
        <f>IF(flg_cur_ang=1,VLOOKUP(BL90,trad_termini,ID_lingua,FALSE),"")</f>
        <v/>
      </c>
      <c r="P90" s="118"/>
      <c r="Q90" s="118"/>
      <c r="R90" s="118"/>
      <c r="S90" s="119"/>
      <c r="T90" s="158">
        <f ca="1">IFERROR(VLOOKUP("COM",INDIRECT(VLOOKUP(mod_base,macchina_dati,21,FALSE)),VLOOKUP(mod_base,macchina_dati,23,FALSE),FALSE),0)</f>
        <v>13044</v>
      </c>
      <c r="Y90" s="136">
        <f>VLOOKUP(mod_base,comando_dati,8,FALSE)</f>
        <v>3700.3547406485118</v>
      </c>
      <c r="Z90" s="94"/>
      <c r="AA90" s="186" t="str">
        <f>CONCATENATE(VLOOKUP(AD42,esec_dati,21,FALSE),VLOOKUP(AD42,esec_dati,22,FALSE))</f>
        <v>51</v>
      </c>
      <c r="AB90" s="196" t="str">
        <f>CONCATENATE(VLOOKUP(mod_base,macchina_dati,2,FALSE),".",LEFT(mod_base,2),".02.",cod_allestimento,".",RIGHT(D_alb_com,2),".00.",VLOOKUP(1,tab_tcom_cod,2,FALSE))</f>
        <v>024.40.02.51.35.00.J</v>
      </c>
      <c r="AC90" s="196"/>
      <c r="AF90" s="91" t="str">
        <f>VLOOKUP(mod_base,macchina_dati,2,FALSE)</f>
        <v>024</v>
      </c>
      <c r="AG90" s="91" t="str">
        <f>LEFT(mod_base,2)</f>
        <v>40</v>
      </c>
      <c r="AH90" s="130">
        <v>2</v>
      </c>
      <c r="AI90" s="91" t="str">
        <f>cod_allestimento</f>
        <v>51</v>
      </c>
      <c r="AJ90" s="91" t="str">
        <f>RIGHT(D_alb_com,2)</f>
        <v>35</v>
      </c>
      <c r="AK90" s="130">
        <v>0</v>
      </c>
      <c r="AL90" s="91" t="str">
        <f>VLOOKUP(1,tab_tcom_cod,2,FALSE)</f>
        <v>J</v>
      </c>
      <c r="AZ90" s="102">
        <v>90</v>
      </c>
      <c r="BA90" s="91">
        <v>26</v>
      </c>
      <c r="BB90" s="91" t="s">
        <v>1569</v>
      </c>
      <c r="BC90" s="91" t="s">
        <v>1569</v>
      </c>
      <c r="BD90" s="91" t="s">
        <v>1569</v>
      </c>
      <c r="BE90" s="91" t="s">
        <v>1569</v>
      </c>
      <c r="BF90" s="91" t="s">
        <v>1569</v>
      </c>
      <c r="BG90" s="91" t="s">
        <v>1569</v>
      </c>
      <c r="BH90" s="91" t="s">
        <v>1569</v>
      </c>
      <c r="BI90" s="91" t="s">
        <v>1569</v>
      </c>
      <c r="BJ90" s="91" t="s">
        <v>1569</v>
      </c>
      <c r="BK90" s="91" t="s">
        <v>1569</v>
      </c>
      <c r="BL90" s="102" t="s">
        <v>1960</v>
      </c>
    </row>
    <row r="91" spans="2:64" ht="15" customHeight="1" x14ac:dyDescent="0.15">
      <c r="C91" s="129"/>
      <c r="D91" s="129"/>
      <c r="E91" s="129"/>
      <c r="F91" s="91"/>
      <c r="G91" s="132" t="str">
        <f>VLOOKUP(BF91,trad_termini,ID_lingua,FALSE)</f>
        <v>Motorized</v>
      </c>
      <c r="H91" s="91"/>
      <c r="I91" s="91"/>
      <c r="J91" s="91"/>
      <c r="K91" s="91"/>
      <c r="L91" s="91"/>
      <c r="N91" s="117"/>
      <c r="P91" s="118"/>
      <c r="Q91" s="118"/>
      <c r="R91" s="118"/>
      <c r="S91" s="119"/>
      <c r="T91" s="158"/>
      <c r="Y91" s="136"/>
      <c r="Z91" s="94"/>
      <c r="AA91" s="190"/>
      <c r="AB91" s="153"/>
      <c r="AC91" s="150"/>
      <c r="AZ91" s="102">
        <v>91</v>
      </c>
      <c r="BA91" s="91" t="s">
        <v>1569</v>
      </c>
      <c r="BB91" s="91" t="s">
        <v>1569</v>
      </c>
      <c r="BC91" s="91" t="s">
        <v>1569</v>
      </c>
      <c r="BD91" s="91" t="s">
        <v>1569</v>
      </c>
      <c r="BE91" s="91" t="s">
        <v>1569</v>
      </c>
      <c r="BF91" s="91">
        <v>108</v>
      </c>
      <c r="BG91" s="91" t="s">
        <v>1569</v>
      </c>
      <c r="BH91" s="91" t="s">
        <v>1569</v>
      </c>
      <c r="BI91" s="91" t="s">
        <v>1569</v>
      </c>
      <c r="BJ91" s="91" t="s">
        <v>1569</v>
      </c>
      <c r="BK91" s="91" t="s">
        <v>1569</v>
      </c>
      <c r="BL91" s="102"/>
    </row>
    <row r="92" spans="2:64" ht="15" customHeight="1" x14ac:dyDescent="0.15">
      <c r="B92" s="24" t="str">
        <f>VLOOKUP(BA92,trad_termini,ID_lingua,FALSE)</f>
        <v>Return Head</v>
      </c>
      <c r="C92" s="76">
        <v>1</v>
      </c>
      <c r="D92" s="184" t="str">
        <f>IFERROR(AB92,"-")</f>
        <v>024.40.05.51.00.00</v>
      </c>
      <c r="E92" s="185"/>
      <c r="F92" s="91"/>
      <c r="G92" s="75" t="s">
        <v>72</v>
      </c>
      <c r="H92" s="91"/>
      <c r="I92" s="91"/>
      <c r="J92" s="91"/>
      <c r="K92" s="91"/>
      <c r="L92" s="91"/>
      <c r="N92" s="117"/>
      <c r="P92" s="118"/>
      <c r="Q92" s="118"/>
      <c r="R92" s="118">
        <f>IF(G92="SI",1,0)</f>
        <v>0</v>
      </c>
      <c r="S92" s="119" t="s">
        <v>1727</v>
      </c>
      <c r="T92" s="158">
        <f ca="1">IFERROR(VLOOKUP("RNV",INDIRECT(VLOOKUP(mod_base,macchina_dati,22,FALSE)),VLOOKUP(mod_base,macchina_dati,23,FALSE),FALSE),0)</f>
        <v>14696</v>
      </c>
      <c r="Y92" s="136">
        <f>VLOOKUP(mod_base,rinvio_dati,8,FALSE)</f>
        <v>2750.3547406485118</v>
      </c>
      <c r="Z92" s="94"/>
      <c r="AA92" s="187"/>
      <c r="AB92" s="184" t="str">
        <f>CONCATENATE(VLOOKUP(mod_base,macchina_dati,2,FALSE),".",LEFT(mod_base,2),".05.",AI92,".00.00")</f>
        <v>024.40.05.51.00.00</v>
      </c>
      <c r="AC92" s="185"/>
      <c r="AD92" s="91"/>
      <c r="AF92" s="91" t="str">
        <f>VLOOKUP(mod_base,macchina_dati,2,FALSE)</f>
        <v>024</v>
      </c>
      <c r="AG92" s="91" t="str">
        <f>LEFT(mod_base,2)</f>
        <v>40</v>
      </c>
      <c r="AH92" s="130">
        <v>5</v>
      </c>
      <c r="AI92" s="180" t="str">
        <f>CONCATENATE(AI94,AI95)</f>
        <v>51</v>
      </c>
      <c r="AJ92" s="130">
        <v>0</v>
      </c>
      <c r="AK92" s="130">
        <v>0</v>
      </c>
      <c r="AZ92" s="102">
        <v>92</v>
      </c>
      <c r="BA92" s="91">
        <v>138</v>
      </c>
      <c r="BB92" s="91" t="s">
        <v>1569</v>
      </c>
      <c r="BC92" s="91" t="s">
        <v>1569</v>
      </c>
      <c r="BD92" s="91" t="s">
        <v>1569</v>
      </c>
      <c r="BE92" s="91" t="s">
        <v>1569</v>
      </c>
      <c r="BF92" s="91" t="s">
        <v>1569</v>
      </c>
      <c r="BG92" s="91" t="s">
        <v>1569</v>
      </c>
      <c r="BH92" s="91" t="s">
        <v>1569</v>
      </c>
      <c r="BI92" s="91" t="s">
        <v>1569</v>
      </c>
      <c r="BJ92" s="91" t="s">
        <v>1569</v>
      </c>
      <c r="BK92" s="91" t="s">
        <v>1569</v>
      </c>
      <c r="BL92" s="102"/>
    </row>
    <row r="93" spans="2:64" ht="9.9499999999999993" customHeight="1" x14ac:dyDescent="0.15">
      <c r="C93" s="91"/>
      <c r="D93" s="91"/>
      <c r="E93" s="152"/>
      <c r="F93" s="91"/>
      <c r="G93" s="91"/>
      <c r="H93" s="91"/>
      <c r="I93" s="91"/>
      <c r="J93" s="91"/>
      <c r="K93" s="91"/>
      <c r="L93" s="91"/>
      <c r="N93" s="117"/>
      <c r="P93" s="118"/>
      <c r="Q93" s="118"/>
      <c r="R93" s="118"/>
      <c r="S93" s="119"/>
      <c r="T93" s="160"/>
      <c r="Y93" s="91"/>
      <c r="Z93" s="91"/>
      <c r="AA93" s="91"/>
      <c r="AB93" s="91"/>
      <c r="AC93" s="91"/>
      <c r="AD93" s="91"/>
      <c r="AI93" s="181"/>
      <c r="AZ93" s="102">
        <v>93</v>
      </c>
      <c r="BA93" s="91" t="s">
        <v>1569</v>
      </c>
      <c r="BB93" s="91" t="s">
        <v>1569</v>
      </c>
      <c r="BC93" s="91" t="s">
        <v>1569</v>
      </c>
      <c r="BD93" s="91" t="s">
        <v>1569</v>
      </c>
      <c r="BE93" s="91" t="s">
        <v>1569</v>
      </c>
      <c r="BF93" s="91" t="s">
        <v>1569</v>
      </c>
      <c r="BG93" s="91" t="s">
        <v>1569</v>
      </c>
      <c r="BH93" s="91" t="s">
        <v>1569</v>
      </c>
      <c r="BI93" s="91" t="s">
        <v>1569</v>
      </c>
      <c r="BJ93" s="91" t="s">
        <v>1569</v>
      </c>
      <c r="BK93" s="91" t="s">
        <v>1569</v>
      </c>
      <c r="BL93" s="102"/>
    </row>
    <row r="94" spans="2:64" ht="15" customHeight="1" x14ac:dyDescent="0.15">
      <c r="B94" s="142" t="str">
        <f>VLOOKUP(BA94,trad_termini,ID_lingua,FALSE)</f>
        <v>Conveying Troughs</v>
      </c>
      <c r="C94" s="91"/>
      <c r="D94" s="91"/>
      <c r="E94" s="152"/>
      <c r="F94" s="91"/>
      <c r="G94" s="91"/>
      <c r="H94" s="91"/>
      <c r="I94" s="91"/>
      <c r="J94" s="91"/>
      <c r="K94" s="91"/>
      <c r="L94" s="91"/>
      <c r="N94" s="117"/>
      <c r="P94" s="118"/>
      <c r="Q94" s="118"/>
      <c r="R94" s="118"/>
      <c r="S94" s="119"/>
      <c r="T94" s="160"/>
      <c r="Y94" s="91"/>
      <c r="Z94" s="91"/>
      <c r="AA94" s="91"/>
      <c r="AB94" s="91"/>
      <c r="AC94" s="91"/>
      <c r="AD94" s="91"/>
      <c r="AI94" s="180">
        <f>VLOOKUP(AD42,esec_dati,21,FALSE)+IF(AND(OR(macchina_W=50, macchina_W=60),H_fianc="N"),4,0)</f>
        <v>5</v>
      </c>
      <c r="AZ94" s="102">
        <v>94</v>
      </c>
      <c r="BA94" s="91">
        <v>18</v>
      </c>
      <c r="BB94" s="91" t="s">
        <v>1569</v>
      </c>
      <c r="BC94" s="91" t="s">
        <v>1569</v>
      </c>
      <c r="BD94" s="91" t="s">
        <v>1569</v>
      </c>
      <c r="BE94" s="91" t="s">
        <v>1569</v>
      </c>
      <c r="BF94" s="91" t="s">
        <v>1569</v>
      </c>
      <c r="BG94" s="91" t="s">
        <v>1569</v>
      </c>
      <c r="BH94" s="91" t="s">
        <v>1569</v>
      </c>
      <c r="BI94" s="91" t="s">
        <v>1569</v>
      </c>
      <c r="BJ94" s="91" t="s">
        <v>1569</v>
      </c>
      <c r="BK94" s="91" t="s">
        <v>1569</v>
      </c>
      <c r="BL94" s="102"/>
    </row>
    <row r="95" spans="2:64" ht="15" customHeight="1" x14ac:dyDescent="0.15">
      <c r="B95" s="121"/>
      <c r="C95" s="91"/>
      <c r="D95" s="221" t="s">
        <v>755</v>
      </c>
      <c r="E95" s="221"/>
      <c r="F95" s="221"/>
      <c r="G95" s="221"/>
      <c r="H95" s="91"/>
      <c r="I95" s="91"/>
      <c r="J95" s="91"/>
      <c r="K95" s="91"/>
      <c r="L95" s="91"/>
      <c r="N95" s="117"/>
      <c r="P95" s="118"/>
      <c r="Q95" s="118"/>
      <c r="R95" s="118"/>
      <c r="S95" s="119"/>
      <c r="T95" s="160"/>
      <c r="Y95" s="91"/>
      <c r="Z95" s="91"/>
      <c r="AA95" s="91"/>
      <c r="AB95" s="91"/>
      <c r="AC95" s="91"/>
      <c r="AD95" s="91"/>
      <c r="AE95" s="91"/>
      <c r="AI95" s="180">
        <f>VLOOKUP(AD42,esec_dati,22,FALSE)</f>
        <v>1</v>
      </c>
      <c r="AZ95" s="102">
        <v>95</v>
      </c>
      <c r="BA95" s="91" t="s">
        <v>1569</v>
      </c>
      <c r="BB95" s="91" t="s">
        <v>1569</v>
      </c>
      <c r="BC95" s="91">
        <v>155</v>
      </c>
      <c r="BD95" s="91" t="s">
        <v>1569</v>
      </c>
      <c r="BE95" s="91" t="s">
        <v>1569</v>
      </c>
      <c r="BF95" s="91" t="s">
        <v>1569</v>
      </c>
      <c r="BG95" s="91" t="s">
        <v>1569</v>
      </c>
      <c r="BH95" s="91" t="s">
        <v>1569</v>
      </c>
      <c r="BI95" s="91" t="s">
        <v>1569</v>
      </c>
      <c r="BJ95" s="91" t="s">
        <v>1569</v>
      </c>
      <c r="BK95" s="91" t="s">
        <v>1569</v>
      </c>
      <c r="BL95" s="102"/>
    </row>
    <row r="96" spans="2:64" ht="15" customHeight="1" x14ac:dyDescent="0.15">
      <c r="B96" s="121"/>
      <c r="C96" s="132" t="str">
        <f>VLOOKUP(BB96,trad_termini,ID_lingua,FALSE)</f>
        <v>Standard</v>
      </c>
      <c r="D96" s="91" t="str">
        <f>VLOOKUP(BC96,trad_termini,ID_lingua,FALSE)</f>
        <v>Covers</v>
      </c>
      <c r="E96" s="91" t="str">
        <f>VLOOKUP(BD96,trad_termini,ID_lingua,FALSE)</f>
        <v>Side Panels</v>
      </c>
      <c r="F96" s="91" t="str">
        <f>VLOOKUP(BE96,trad_termini,ID_lingua,FALSE)</f>
        <v>Bot. Panel</v>
      </c>
      <c r="G96" s="91" t="str">
        <f>VLOOKUP(BF96,trad_termini,ID_lingua,FALSE)</f>
        <v>Cladding</v>
      </c>
      <c r="H96" s="91"/>
      <c r="I96" s="91"/>
      <c r="K96" s="91"/>
      <c r="L96" s="132" t="str">
        <f>VLOOKUP(BK96,trad_termini,ID_lingua,FALSE)</f>
        <v>Guide section</v>
      </c>
      <c r="N96" s="117"/>
      <c r="P96" s="118"/>
      <c r="Q96" s="118"/>
      <c r="R96" s="118"/>
      <c r="S96" s="119"/>
      <c r="T96" s="160"/>
      <c r="Y96" s="91" t="s">
        <v>819</v>
      </c>
      <c r="Z96" s="91" t="s">
        <v>752</v>
      </c>
      <c r="AA96" s="91" t="s">
        <v>715</v>
      </c>
      <c r="AB96" s="91" t="s">
        <v>753</v>
      </c>
      <c r="AC96" s="91" t="s">
        <v>950</v>
      </c>
      <c r="AD96" s="91" t="s">
        <v>754</v>
      </c>
      <c r="AE96" s="188"/>
      <c r="AF96" s="188"/>
      <c r="AG96" s="188"/>
      <c r="AZ96" s="102">
        <v>96</v>
      </c>
      <c r="BA96" s="91" t="s">
        <v>1569</v>
      </c>
      <c r="BB96" s="91">
        <v>64</v>
      </c>
      <c r="BC96" s="91">
        <v>37</v>
      </c>
      <c r="BD96" s="91">
        <v>67</v>
      </c>
      <c r="BE96" s="91">
        <v>70</v>
      </c>
      <c r="BF96" s="91">
        <v>140</v>
      </c>
      <c r="BG96" s="91" t="s">
        <v>1569</v>
      </c>
      <c r="BH96" s="91" t="s">
        <v>1569</v>
      </c>
      <c r="BI96" s="91" t="s">
        <v>1569</v>
      </c>
      <c r="BJ96" s="91" t="s">
        <v>1569</v>
      </c>
      <c r="BK96" s="91">
        <v>127</v>
      </c>
      <c r="BL96" s="102"/>
    </row>
    <row r="97" spans="2:64" ht="15" customHeight="1" x14ac:dyDescent="0.15">
      <c r="C97" s="249" t="str">
        <f>F45</f>
        <v>E01</v>
      </c>
      <c r="D97" s="76">
        <f>sp_cop</f>
        <v>3</v>
      </c>
      <c r="E97" s="76">
        <f>sp_fianc</f>
        <v>4</v>
      </c>
      <c r="F97" s="76">
        <f>sp_fondo</f>
        <v>8</v>
      </c>
      <c r="G97" s="76" t="str">
        <f>sp_riv</f>
        <v>-</v>
      </c>
      <c r="H97" s="161"/>
      <c r="I97" s="252" t="str">
        <f>IF(nota_1&lt;&gt;"",VLOOKUP(BH97,trad_termini,ID_lingua,FALSE),"")</f>
        <v>CHECK THE REMARKS</v>
      </c>
      <c r="J97" s="252"/>
      <c r="K97" s="91"/>
      <c r="L97" s="76" t="str">
        <f>E42</f>
        <v>60x12</v>
      </c>
      <c r="N97" s="124" t="str">
        <f>IF(I97&lt;&gt;"",VLOOKUP(BL97,trad_termini,ID_lingua,FALSE),"")</f>
        <v>&lt;PLEASE SELECT FOR REMARKS</v>
      </c>
      <c r="P97" s="118"/>
      <c r="Q97" s="118"/>
      <c r="R97" s="118"/>
      <c r="S97" s="119"/>
      <c r="T97" s="160"/>
      <c r="Y97" s="76">
        <f>VALUE(RIGHT(C97,2))</f>
        <v>1</v>
      </c>
      <c r="Z97" s="76">
        <f>VLOOKUP(mac_cod_sint,esec_dati,17,FALSE)</f>
        <v>3</v>
      </c>
      <c r="AA97" s="76">
        <f>VLOOKUP(mac_cod_sint,esec_dati,18,FALSE)</f>
        <v>4</v>
      </c>
      <c r="AB97" s="76">
        <f>VLOOKUP(mac_cod_sint,esec_dati,19,FALSE)</f>
        <v>8</v>
      </c>
      <c r="AC97" s="76" t="str">
        <f>IF(macchina_W&gt;40,"-",IF(AC98="HD1000",15,IF(AC98="Hardox 450",12,"-")))</f>
        <v>-</v>
      </c>
      <c r="AD97" s="76" t="str">
        <f>VLOOKUP(mac_cod_sint,esec_dati,7,FALSE)</f>
        <v>60x12</v>
      </c>
      <c r="AE97" s="191"/>
      <c r="AF97" s="188"/>
      <c r="AG97" s="188"/>
      <c r="AZ97" s="102">
        <v>97</v>
      </c>
      <c r="BA97" s="91" t="s">
        <v>1569</v>
      </c>
      <c r="BB97" s="91" t="s">
        <v>1569</v>
      </c>
      <c r="BC97" s="91" t="s">
        <v>1569</v>
      </c>
      <c r="BD97" s="91" t="s">
        <v>1569</v>
      </c>
      <c r="BE97" s="91" t="s">
        <v>1569</v>
      </c>
      <c r="BF97" s="91" t="s">
        <v>1569</v>
      </c>
      <c r="BG97" s="91" t="s">
        <v>1569</v>
      </c>
      <c r="BH97" s="120">
        <v>181</v>
      </c>
      <c r="BI97" s="120" t="s">
        <v>1569</v>
      </c>
      <c r="BJ97" s="91" t="s">
        <v>1569</v>
      </c>
      <c r="BK97" s="91" t="s">
        <v>1569</v>
      </c>
      <c r="BL97" s="102" t="s">
        <v>1964</v>
      </c>
    </row>
    <row r="98" spans="2:64" ht="15" customHeight="1" x14ac:dyDescent="0.15">
      <c r="C98" s="250"/>
      <c r="D98" s="76" t="str">
        <f>mat_cop</f>
        <v>S355</v>
      </c>
      <c r="E98" s="76" t="str">
        <f>mat_fianc</f>
        <v>S235</v>
      </c>
      <c r="F98" s="76" t="str">
        <f>mat_fondo</f>
        <v>S235</v>
      </c>
      <c r="G98" s="76" t="str">
        <f>mat_riv</f>
        <v>-</v>
      </c>
      <c r="H98" s="161"/>
      <c r="I98" s="252"/>
      <c r="J98" s="252"/>
      <c r="K98" s="91"/>
      <c r="L98" s="76" t="str">
        <f>mat_guida</f>
        <v>X120Mn12</v>
      </c>
      <c r="N98" s="117"/>
      <c r="P98" s="118"/>
      <c r="Q98" s="118"/>
      <c r="R98" s="118"/>
      <c r="S98" s="119"/>
      <c r="T98" s="160"/>
      <c r="Y98" s="91"/>
      <c r="Z98" s="76" t="str">
        <f>VLOOKUP(mac_cod_sint,esec_dati,6,FALSE)</f>
        <v>S355</v>
      </c>
      <c r="AA98" s="76" t="s">
        <v>748</v>
      </c>
      <c r="AB98" s="76" t="str">
        <f>IF(AND(macchina_W&gt;40,IF(VLOOKUP(mac_cod_sint,esec_dati,8,FALSE)="NO","-",VLOOKUP(mac_cod_sint,esec_dati,8,FALSE))="Hardox 450"),IF(VLOOKUP(mac_cod_sint,esec_dati,8,FALSE)="NO","-",VLOOKUP(mac_cod_sint,esec_dati,8,FALSE)),"S235")</f>
        <v>S235</v>
      </c>
      <c r="AC98" s="76" t="str">
        <f>IF(macchina_W&gt;40,"-",IF(VLOOKUP(mac_cod_sint,esec_dati,8,FALSE)="NO","-",VLOOKUP(mac_cod_sint,esec_dati,8,FALSE)))</f>
        <v>-</v>
      </c>
      <c r="AD98" s="76" t="s">
        <v>749</v>
      </c>
      <c r="AE98" s="91"/>
      <c r="AZ98" s="102">
        <v>98</v>
      </c>
      <c r="BA98" s="91" t="s">
        <v>1569</v>
      </c>
      <c r="BB98" s="91" t="s">
        <v>1569</v>
      </c>
      <c r="BC98" s="91" t="s">
        <v>1569</v>
      </c>
      <c r="BD98" s="91" t="s">
        <v>1569</v>
      </c>
      <c r="BE98" s="91" t="s">
        <v>1569</v>
      </c>
      <c r="BF98" s="91" t="s">
        <v>1569</v>
      </c>
      <c r="BG98" s="91" t="s">
        <v>1569</v>
      </c>
      <c r="BH98" s="120" t="s">
        <v>1569</v>
      </c>
      <c r="BI98" s="120" t="s">
        <v>1569</v>
      </c>
      <c r="BJ98" s="91" t="s">
        <v>1569</v>
      </c>
      <c r="BK98" s="91" t="s">
        <v>1569</v>
      </c>
      <c r="BL98" s="102"/>
    </row>
    <row r="99" spans="2:64" ht="9.9499999999999993" customHeight="1" x14ac:dyDescent="0.15">
      <c r="B99" s="121"/>
      <c r="C99" s="91"/>
      <c r="D99" s="91"/>
      <c r="E99" s="152"/>
      <c r="F99" s="91"/>
      <c r="G99" s="91"/>
      <c r="H99" s="91"/>
      <c r="I99" s="91"/>
      <c r="K99" s="91"/>
      <c r="L99" s="91"/>
      <c r="N99" s="117"/>
      <c r="P99" s="118"/>
      <c r="Q99" s="118"/>
      <c r="R99" s="118"/>
      <c r="S99" s="119"/>
      <c r="T99" s="160"/>
      <c r="Y99" s="91"/>
      <c r="Z99" s="91"/>
      <c r="AA99" s="91"/>
      <c r="AB99" s="91"/>
      <c r="AC99" s="91"/>
      <c r="AD99" s="91"/>
      <c r="AE99" s="91"/>
      <c r="AZ99" s="102">
        <v>99</v>
      </c>
      <c r="BA99" s="91" t="s">
        <v>1569</v>
      </c>
      <c r="BB99" s="91" t="s">
        <v>1569</v>
      </c>
      <c r="BC99" s="91" t="s">
        <v>1569</v>
      </c>
      <c r="BD99" s="91" t="s">
        <v>1569</v>
      </c>
      <c r="BE99" s="91" t="s">
        <v>1569</v>
      </c>
      <c r="BF99" s="91" t="s">
        <v>1569</v>
      </c>
      <c r="BG99" s="91" t="s">
        <v>1569</v>
      </c>
      <c r="BH99" s="91" t="s">
        <v>1569</v>
      </c>
      <c r="BI99" s="91" t="s">
        <v>1569</v>
      </c>
      <c r="BJ99" s="91" t="s">
        <v>1569</v>
      </c>
      <c r="BK99" s="91" t="s">
        <v>1569</v>
      </c>
      <c r="BL99" s="102"/>
    </row>
    <row r="100" spans="2:64" ht="15" customHeight="1" x14ac:dyDescent="0.15">
      <c r="C100" s="132" t="str">
        <f t="shared" ref="C100:H100" si="1">VLOOKUP(BB100,trad_termini,ID_lingua,FALSE)</f>
        <v>Qty</v>
      </c>
      <c r="D100" s="91" t="str">
        <f t="shared" si="1"/>
        <v>Type</v>
      </c>
      <c r="E100" s="132" t="str">
        <f t="shared" si="1"/>
        <v>Length</v>
      </c>
      <c r="F100" s="91" t="str">
        <f t="shared" si="1"/>
        <v>L Loading</v>
      </c>
      <c r="G100" s="91" t="str">
        <f t="shared" si="1"/>
        <v>W Loading</v>
      </c>
      <c r="H100" s="188" t="str">
        <f t="shared" si="1"/>
        <v>Drawing</v>
      </c>
      <c r="I100" s="188"/>
      <c r="K100" s="91"/>
      <c r="L100" s="132" t="str">
        <f>VLOOKUP(BK100,trad_termini,ID_lingua,FALSE)</f>
        <v>Guide Lgth</v>
      </c>
      <c r="N100" s="117"/>
      <c r="P100" s="118" t="s">
        <v>1153</v>
      </c>
      <c r="Q100" s="118" t="s">
        <v>1145</v>
      </c>
      <c r="R100" s="118"/>
      <c r="S100" s="119"/>
      <c r="T100" s="157"/>
      <c r="V100" s="24" t="s">
        <v>1157</v>
      </c>
      <c r="W100" s="24" t="s">
        <v>1156</v>
      </c>
      <c r="Y100" s="91"/>
      <c r="Z100" s="91"/>
      <c r="AA100" s="91"/>
      <c r="AB100" s="91"/>
      <c r="AC100" s="91"/>
      <c r="AD100" s="91" t="s">
        <v>283</v>
      </c>
      <c r="AE100" s="91"/>
      <c r="AZ100" s="102">
        <v>100</v>
      </c>
      <c r="BA100" s="91" t="s">
        <v>1569</v>
      </c>
      <c r="BB100" s="91">
        <v>128</v>
      </c>
      <c r="BC100" s="91">
        <v>168</v>
      </c>
      <c r="BD100" s="91">
        <v>97</v>
      </c>
      <c r="BE100" s="91">
        <v>89</v>
      </c>
      <c r="BF100" s="91">
        <v>180</v>
      </c>
      <c r="BG100" s="91">
        <v>57</v>
      </c>
      <c r="BH100" s="91" t="s">
        <v>1569</v>
      </c>
      <c r="BI100" s="91" t="s">
        <v>1569</v>
      </c>
      <c r="BJ100" s="91" t="s">
        <v>1569</v>
      </c>
      <c r="BK100" s="91">
        <v>90</v>
      </c>
      <c r="BL100" s="102"/>
    </row>
    <row r="101" spans="2:64" ht="15" customHeight="1" x14ac:dyDescent="0.15">
      <c r="C101" s="75">
        <v>1</v>
      </c>
      <c r="D101" s="75" t="s">
        <v>259</v>
      </c>
      <c r="E101" s="154">
        <v>1500</v>
      </c>
      <c r="F101" s="75">
        <v>800</v>
      </c>
      <c r="G101" s="75">
        <v>950</v>
      </c>
      <c r="H101" s="251" t="str">
        <f t="shared" ref="H101:H113" ca="1" si="2">IF(C101="","-",CONCATENATE(VLOOKUP(mod_base,macchina_dati,2,FALSE),".",LEFT(mod_base,2),".01.",VLOOKUP(E101,INDIRECT(CONCATENATE(HLOOKUP(mod_base,casse_opt,2,FALSE),"_dati")),(VLOOKUP(D101,casse_tipi_opt,2,FALSE)+IF(mat_riv&lt;&gt;"HD1000",1,5)),FALSE),".00.00",IF(OR(mat_riv="Hardox 450",mat_fondo="Hardox 450"),".A","")))</f>
        <v>024.40.01.15C.00.00</v>
      </c>
      <c r="I101" s="197"/>
      <c r="K101" s="91"/>
      <c r="L101" s="151">
        <f>IF(E101="-",0,C101*4*E101)</f>
        <v>6000</v>
      </c>
      <c r="N101" s="124" t="str">
        <f t="shared" ref="N101:N113" si="3">IF(P101*Q101=0,VLOOKUP(BL101,trad_termini,ID_lingua,FALSE),"")</f>
        <v/>
      </c>
      <c r="P101" s="163">
        <f>IF(OR(AND(D101="L",OR(F101="-",G101="-")),AND(D101&lt;&gt;"L",OR(F101&lt;&gt;"-",G101&lt;&gt;"-"))),0,1)</f>
        <v>1</v>
      </c>
      <c r="Q101" s="163">
        <f t="shared" ref="Q101:Q113" si="4">IFERROR(IF(OR(F101&gt;(E101-2*200),E101&gt;(F101+2*700),G101&gt;VLOOKUP(mod_base,macchina_dati,15,FALSE)),0,1),1)</f>
        <v>1</v>
      </c>
      <c r="R101" s="118"/>
      <c r="S101" s="119"/>
      <c r="T101" s="160">
        <f t="shared" ref="T101:T113" ca="1" si="5">IFERROR(C101*VLOOKUP(E101,INDIRECT(IF(D101="L",VLOOKUP(mod_base,macchina_dati,17,FALSE),VLOOKUP(mod_base,macchina_dati,18,FALSE))),VLOOKUP(mod_base,macchina_dati,23,FALSE),FALSE),0)</f>
        <v>5460</v>
      </c>
      <c r="V101" s="152" t="str">
        <f ca="1">VLOOKUP(E101,INDIRECT(CONCATENATE(HLOOKUP(mod_base,casse_opt,2,FALSE),"_dati")),(VLOOKUP(D101,casse_tipi_opt,2,FALSE)+IF(mat_riv&lt;&gt;"HD1000",1,5)),FALSE)</f>
        <v>15C</v>
      </c>
      <c r="W101" s="91">
        <f>VLOOKUP(D101,casse_tipi_opt,2,FALSE)+IF(mat_riv&lt;&gt;"HD1000",1,5)</f>
        <v>4</v>
      </c>
      <c r="Y101" s="91"/>
      <c r="Z101" s="91"/>
      <c r="AA101" s="91"/>
      <c r="AB101" s="91"/>
      <c r="AC101" s="91"/>
      <c r="AD101" s="76">
        <f>VALUE(RIGHT(L97,2))</f>
        <v>12</v>
      </c>
      <c r="AE101" s="91"/>
      <c r="AZ101" s="102">
        <v>101</v>
      </c>
      <c r="BA101" s="91" t="s">
        <v>1569</v>
      </c>
      <c r="BB101" s="91" t="s">
        <v>1569</v>
      </c>
      <c r="BC101" s="91" t="s">
        <v>1569</v>
      </c>
      <c r="BD101" s="91" t="s">
        <v>1569</v>
      </c>
      <c r="BE101" s="91" t="s">
        <v>1569</v>
      </c>
      <c r="BF101" s="91" t="s">
        <v>1569</v>
      </c>
      <c r="BG101" s="91" t="s">
        <v>1569</v>
      </c>
      <c r="BH101" s="91" t="s">
        <v>1569</v>
      </c>
      <c r="BI101" s="91" t="s">
        <v>1569</v>
      </c>
      <c r="BJ101" s="91" t="s">
        <v>1569</v>
      </c>
      <c r="BK101" s="91" t="s">
        <v>1569</v>
      </c>
      <c r="BL101" s="102" t="s">
        <v>1957</v>
      </c>
    </row>
    <row r="102" spans="2:64" ht="15" customHeight="1" x14ac:dyDescent="0.15">
      <c r="C102" s="75">
        <v>4</v>
      </c>
      <c r="D102" s="75" t="s">
        <v>91</v>
      </c>
      <c r="E102" s="154">
        <v>3000</v>
      </c>
      <c r="F102" s="75" t="s">
        <v>40</v>
      </c>
      <c r="G102" s="75" t="s">
        <v>40</v>
      </c>
      <c r="H102" s="197" t="str">
        <f t="shared" ca="1" si="2"/>
        <v>024.40.01.30A.00.00</v>
      </c>
      <c r="I102" s="197"/>
      <c r="K102" s="91"/>
      <c r="L102" s="151">
        <f t="shared" ref="L102:L113" si="6">IF(E102="-",0,C102*4*E102)</f>
        <v>48000</v>
      </c>
      <c r="N102" s="124" t="str">
        <f t="shared" si="3"/>
        <v/>
      </c>
      <c r="P102" s="118">
        <f t="shared" ref="P102:P113" si="7">IF(OR(AND(D102="L",OR(F102="-",G102="-")),AND(D102&lt;&gt;"L",OR(F102&lt;&gt;"-",G102&lt;&gt;"-"))),0,1)</f>
        <v>1</v>
      </c>
      <c r="Q102" s="118">
        <f t="shared" si="4"/>
        <v>1</v>
      </c>
      <c r="R102" s="118"/>
      <c r="S102" s="119"/>
      <c r="T102" s="160">
        <f t="shared" ca="1" si="5"/>
        <v>43680</v>
      </c>
      <c r="Y102" s="91"/>
      <c r="Z102" s="91"/>
      <c r="AA102" s="91"/>
      <c r="AB102" s="91"/>
      <c r="AC102" s="91"/>
      <c r="AD102" s="91"/>
      <c r="AZ102" s="102">
        <v>102</v>
      </c>
      <c r="BA102" s="91" t="s">
        <v>1569</v>
      </c>
      <c r="BB102" s="91" t="s">
        <v>1569</v>
      </c>
      <c r="BC102" s="91" t="s">
        <v>1569</v>
      </c>
      <c r="BD102" s="91" t="s">
        <v>1569</v>
      </c>
      <c r="BE102" s="91" t="s">
        <v>1569</v>
      </c>
      <c r="BF102" s="91" t="s">
        <v>1569</v>
      </c>
      <c r="BG102" s="91" t="s">
        <v>1569</v>
      </c>
      <c r="BH102" s="91" t="s">
        <v>1569</v>
      </c>
      <c r="BI102" s="91" t="s">
        <v>1569</v>
      </c>
      <c r="BJ102" s="91" t="s">
        <v>1569</v>
      </c>
      <c r="BK102" s="91" t="s">
        <v>1569</v>
      </c>
      <c r="BL102" s="102" t="s">
        <v>1957</v>
      </c>
    </row>
    <row r="103" spans="2:64" ht="15" customHeight="1" x14ac:dyDescent="0.15">
      <c r="C103" s="75">
        <v>2</v>
      </c>
      <c r="D103" s="75" t="s">
        <v>91</v>
      </c>
      <c r="E103" s="154">
        <v>2000</v>
      </c>
      <c r="F103" s="75" t="s">
        <v>40</v>
      </c>
      <c r="G103" s="75" t="s">
        <v>40</v>
      </c>
      <c r="H103" s="197" t="str">
        <f t="shared" ca="1" si="2"/>
        <v>024.40.01.20A.00.00</v>
      </c>
      <c r="I103" s="197"/>
      <c r="K103" s="91"/>
      <c r="L103" s="151">
        <f t="shared" si="6"/>
        <v>16000</v>
      </c>
      <c r="N103" s="124" t="str">
        <f t="shared" si="3"/>
        <v/>
      </c>
      <c r="P103" s="118">
        <f t="shared" si="7"/>
        <v>1</v>
      </c>
      <c r="Q103" s="118">
        <f t="shared" si="4"/>
        <v>1</v>
      </c>
      <c r="R103" s="118"/>
      <c r="S103" s="119"/>
      <c r="T103" s="160">
        <f t="shared" ca="1" si="5"/>
        <v>17840</v>
      </c>
      <c r="Y103" s="91"/>
      <c r="Z103" s="91"/>
      <c r="AA103" s="91"/>
      <c r="AB103" s="91"/>
      <c r="AC103" s="91"/>
      <c r="AD103" s="91"/>
      <c r="AZ103" s="102">
        <v>103</v>
      </c>
      <c r="BA103" s="91" t="s">
        <v>1569</v>
      </c>
      <c r="BB103" s="91" t="s">
        <v>1569</v>
      </c>
      <c r="BC103" s="91" t="s">
        <v>1569</v>
      </c>
      <c r="BD103" s="91" t="s">
        <v>1569</v>
      </c>
      <c r="BE103" s="91" t="s">
        <v>1569</v>
      </c>
      <c r="BF103" s="91" t="s">
        <v>1569</v>
      </c>
      <c r="BG103" s="91" t="s">
        <v>1569</v>
      </c>
      <c r="BH103" s="91" t="s">
        <v>1569</v>
      </c>
      <c r="BI103" s="91" t="s">
        <v>1569</v>
      </c>
      <c r="BJ103" s="91" t="s">
        <v>1569</v>
      </c>
      <c r="BK103" s="91" t="s">
        <v>1569</v>
      </c>
      <c r="BL103" s="102" t="s">
        <v>1957</v>
      </c>
    </row>
    <row r="104" spans="2:64" ht="15" customHeight="1" x14ac:dyDescent="0.15">
      <c r="C104" s="75">
        <v>1</v>
      </c>
      <c r="D104" s="75" t="s">
        <v>91</v>
      </c>
      <c r="E104" s="154">
        <v>1500</v>
      </c>
      <c r="F104" s="75" t="s">
        <v>40</v>
      </c>
      <c r="G104" s="75" t="s">
        <v>40</v>
      </c>
      <c r="H104" s="197" t="str">
        <f t="shared" ca="1" si="2"/>
        <v>024.40.01.15A.00.00</v>
      </c>
      <c r="I104" s="197"/>
      <c r="K104" s="91"/>
      <c r="L104" s="151">
        <f t="shared" si="6"/>
        <v>6000</v>
      </c>
      <c r="N104" s="124" t="str">
        <f t="shared" si="3"/>
        <v/>
      </c>
      <c r="P104" s="118">
        <f t="shared" si="7"/>
        <v>1</v>
      </c>
      <c r="Q104" s="118">
        <f t="shared" si="4"/>
        <v>1</v>
      </c>
      <c r="R104" s="118"/>
      <c r="S104" s="119"/>
      <c r="T104" s="160">
        <f t="shared" ca="1" si="5"/>
        <v>5460</v>
      </c>
      <c r="Y104" s="112" t="s">
        <v>1152</v>
      </c>
      <c r="AZ104" s="102">
        <v>104</v>
      </c>
      <c r="BA104" s="91" t="s">
        <v>1569</v>
      </c>
      <c r="BB104" s="91" t="s">
        <v>1569</v>
      </c>
      <c r="BC104" s="91" t="s">
        <v>1569</v>
      </c>
      <c r="BD104" s="91" t="s">
        <v>1569</v>
      </c>
      <c r="BE104" s="91" t="s">
        <v>1569</v>
      </c>
      <c r="BF104" s="91" t="s">
        <v>1569</v>
      </c>
      <c r="BG104" s="91" t="s">
        <v>1569</v>
      </c>
      <c r="BH104" s="91" t="s">
        <v>1569</v>
      </c>
      <c r="BI104" s="91" t="s">
        <v>1569</v>
      </c>
      <c r="BJ104" s="91" t="s">
        <v>1569</v>
      </c>
      <c r="BK104" s="91" t="s">
        <v>1569</v>
      </c>
      <c r="BL104" s="102" t="s">
        <v>1957</v>
      </c>
    </row>
    <row r="105" spans="2:64" ht="15" customHeight="1" x14ac:dyDescent="0.15">
      <c r="C105" s="75">
        <v>4</v>
      </c>
      <c r="D105" s="75" t="s">
        <v>105</v>
      </c>
      <c r="E105" s="154">
        <v>3000</v>
      </c>
      <c r="F105" s="75" t="s">
        <v>40</v>
      </c>
      <c r="G105" s="75" t="s">
        <v>40</v>
      </c>
      <c r="H105" s="197" t="str">
        <f t="shared" ca="1" si="2"/>
        <v>024.40.01.30B.00.00</v>
      </c>
      <c r="I105" s="197"/>
      <c r="K105" s="91"/>
      <c r="L105" s="151">
        <f t="shared" si="6"/>
        <v>48000</v>
      </c>
      <c r="N105" s="124" t="str">
        <f t="shared" si="3"/>
        <v/>
      </c>
      <c r="P105" s="118">
        <f t="shared" si="7"/>
        <v>1</v>
      </c>
      <c r="Q105" s="118">
        <f t="shared" si="4"/>
        <v>1</v>
      </c>
      <c r="R105" s="118"/>
      <c r="S105" s="119"/>
      <c r="T105" s="160">
        <f t="shared" ca="1" si="5"/>
        <v>43680</v>
      </c>
      <c r="Y105" s="76" t="s">
        <v>814</v>
      </c>
      <c r="Z105" s="76" t="s">
        <v>815</v>
      </c>
      <c r="AA105" s="76" t="s">
        <v>816</v>
      </c>
      <c r="AB105" s="76" t="s">
        <v>817</v>
      </c>
      <c r="AC105" s="76" t="s">
        <v>811</v>
      </c>
      <c r="AD105" s="76" t="s">
        <v>818</v>
      </c>
      <c r="AE105" s="76" t="s">
        <v>812</v>
      </c>
      <c r="AF105" s="76" t="s">
        <v>813</v>
      </c>
      <c r="AZ105" s="102">
        <v>105</v>
      </c>
      <c r="BA105" s="91" t="s">
        <v>1569</v>
      </c>
      <c r="BB105" s="91" t="s">
        <v>1569</v>
      </c>
      <c r="BC105" s="91" t="s">
        <v>1569</v>
      </c>
      <c r="BD105" s="91" t="s">
        <v>1569</v>
      </c>
      <c r="BE105" s="91" t="s">
        <v>1569</v>
      </c>
      <c r="BF105" s="91" t="s">
        <v>1569</v>
      </c>
      <c r="BG105" s="91" t="s">
        <v>1569</v>
      </c>
      <c r="BH105" s="91" t="s">
        <v>1569</v>
      </c>
      <c r="BI105" s="91" t="s">
        <v>1569</v>
      </c>
      <c r="BJ105" s="91" t="s">
        <v>1569</v>
      </c>
      <c r="BK105" s="91" t="s">
        <v>1569</v>
      </c>
      <c r="BL105" s="102" t="s">
        <v>1957</v>
      </c>
    </row>
    <row r="106" spans="2:64" ht="15" customHeight="1" x14ac:dyDescent="0.15">
      <c r="C106" s="75">
        <v>1</v>
      </c>
      <c r="D106" s="75" t="s">
        <v>105</v>
      </c>
      <c r="E106" s="154">
        <v>2000</v>
      </c>
      <c r="F106" s="75" t="s">
        <v>40</v>
      </c>
      <c r="G106" s="75" t="s">
        <v>40</v>
      </c>
      <c r="H106" s="197" t="str">
        <f t="shared" ca="1" si="2"/>
        <v>024.40.01.20B.00.00</v>
      </c>
      <c r="I106" s="197"/>
      <c r="K106" s="91"/>
      <c r="L106" s="151">
        <f t="shared" si="6"/>
        <v>8000</v>
      </c>
      <c r="N106" s="124" t="str">
        <f t="shared" si="3"/>
        <v/>
      </c>
      <c r="P106" s="118">
        <f t="shared" si="7"/>
        <v>1</v>
      </c>
      <c r="Q106" s="118">
        <f t="shared" si="4"/>
        <v>1</v>
      </c>
      <c r="R106" s="118"/>
      <c r="S106" s="119"/>
      <c r="T106" s="160">
        <f t="shared" ca="1" si="5"/>
        <v>8920</v>
      </c>
      <c r="X106" s="94" t="s">
        <v>1147</v>
      </c>
      <c r="Y106" s="76" t="s">
        <v>1140</v>
      </c>
      <c r="Z106" s="76" t="s">
        <v>1140</v>
      </c>
      <c r="AA106" s="76" t="s">
        <v>1140</v>
      </c>
      <c r="AB106" s="76" t="s">
        <v>1141</v>
      </c>
      <c r="AC106" s="76" t="s">
        <v>1150</v>
      </c>
      <c r="AD106" s="76" t="s">
        <v>1141</v>
      </c>
      <c r="AE106" s="76" t="s">
        <v>1150</v>
      </c>
      <c r="AF106" s="76" t="s">
        <v>1150</v>
      </c>
      <c r="AZ106" s="102">
        <v>106</v>
      </c>
      <c r="BA106" s="91" t="s">
        <v>1569</v>
      </c>
      <c r="BB106" s="91" t="s">
        <v>1569</v>
      </c>
      <c r="BC106" s="91" t="s">
        <v>1569</v>
      </c>
      <c r="BD106" s="91" t="s">
        <v>1569</v>
      </c>
      <c r="BE106" s="91" t="s">
        <v>1569</v>
      </c>
      <c r="BF106" s="91" t="s">
        <v>1569</v>
      </c>
      <c r="BG106" s="91" t="s">
        <v>1569</v>
      </c>
      <c r="BH106" s="91" t="s">
        <v>1569</v>
      </c>
      <c r="BI106" s="91" t="s">
        <v>1569</v>
      </c>
      <c r="BJ106" s="91" t="s">
        <v>1569</v>
      </c>
      <c r="BK106" s="91" t="s">
        <v>1569</v>
      </c>
      <c r="BL106" s="102" t="s">
        <v>1957</v>
      </c>
    </row>
    <row r="107" spans="2:64" ht="15" customHeight="1" x14ac:dyDescent="0.15">
      <c r="C107" s="75">
        <v>1</v>
      </c>
      <c r="D107" s="75" t="s">
        <v>105</v>
      </c>
      <c r="E107" s="154">
        <v>1500</v>
      </c>
      <c r="F107" s="75" t="s">
        <v>40</v>
      </c>
      <c r="G107" s="75" t="s">
        <v>40</v>
      </c>
      <c r="H107" s="197" t="str">
        <f t="shared" ca="1" si="2"/>
        <v>024.40.01.15B.00.00</v>
      </c>
      <c r="I107" s="197"/>
      <c r="K107" s="91"/>
      <c r="L107" s="151">
        <f t="shared" si="6"/>
        <v>6000</v>
      </c>
      <c r="N107" s="124" t="str">
        <f t="shared" si="3"/>
        <v/>
      </c>
      <c r="P107" s="118">
        <f t="shared" si="7"/>
        <v>1</v>
      </c>
      <c r="Q107" s="118">
        <f t="shared" si="4"/>
        <v>1</v>
      </c>
      <c r="R107" s="118"/>
      <c r="S107" s="119"/>
      <c r="T107" s="160">
        <f t="shared" ca="1" si="5"/>
        <v>5460</v>
      </c>
      <c r="Y107" s="91"/>
      <c r="Z107" s="91"/>
      <c r="AA107" s="91"/>
      <c r="AB107" s="91"/>
      <c r="AC107" s="91"/>
      <c r="AD107" s="91"/>
      <c r="AZ107" s="102">
        <v>107</v>
      </c>
      <c r="BA107" s="91" t="s">
        <v>1569</v>
      </c>
      <c r="BB107" s="91" t="s">
        <v>1569</v>
      </c>
      <c r="BC107" s="91" t="s">
        <v>1569</v>
      </c>
      <c r="BD107" s="91" t="s">
        <v>1569</v>
      </c>
      <c r="BE107" s="91" t="s">
        <v>1569</v>
      </c>
      <c r="BF107" s="91" t="s">
        <v>1569</v>
      </c>
      <c r="BG107" s="91" t="s">
        <v>1569</v>
      </c>
      <c r="BH107" s="91" t="s">
        <v>1569</v>
      </c>
      <c r="BI107" s="91" t="s">
        <v>1569</v>
      </c>
      <c r="BJ107" s="91" t="s">
        <v>1569</v>
      </c>
      <c r="BK107" s="91" t="s">
        <v>1569</v>
      </c>
      <c r="BL107" s="102" t="s">
        <v>1957</v>
      </c>
    </row>
    <row r="108" spans="2:64" ht="15" customHeight="1" x14ac:dyDescent="0.15">
      <c r="C108" s="75"/>
      <c r="D108" s="75" t="s">
        <v>40</v>
      </c>
      <c r="E108" s="154" t="s">
        <v>40</v>
      </c>
      <c r="F108" s="75" t="s">
        <v>40</v>
      </c>
      <c r="G108" s="75" t="s">
        <v>40</v>
      </c>
      <c r="H108" s="197" t="str">
        <f t="shared" ca="1" si="2"/>
        <v>-</v>
      </c>
      <c r="I108" s="197"/>
      <c r="K108" s="91"/>
      <c r="L108" s="151">
        <f t="shared" si="6"/>
        <v>0</v>
      </c>
      <c r="N108" s="124" t="str">
        <f t="shared" si="3"/>
        <v/>
      </c>
      <c r="P108" s="118">
        <f t="shared" si="7"/>
        <v>1</v>
      </c>
      <c r="Q108" s="118">
        <f t="shared" si="4"/>
        <v>1</v>
      </c>
      <c r="R108" s="118"/>
      <c r="S108" s="119"/>
      <c r="T108" s="160">
        <f t="shared" ca="1" si="5"/>
        <v>0</v>
      </c>
      <c r="Y108" s="118"/>
      <c r="Z108" s="118"/>
      <c r="AA108" s="118"/>
      <c r="AB108" s="118"/>
      <c r="AC108" s="118"/>
      <c r="AD108" s="118"/>
      <c r="AE108" s="119"/>
      <c r="AF108" s="119"/>
      <c r="AZ108" s="102">
        <v>108</v>
      </c>
      <c r="BA108" s="91" t="s">
        <v>1569</v>
      </c>
      <c r="BB108" s="91" t="s">
        <v>1569</v>
      </c>
      <c r="BC108" s="91" t="s">
        <v>1569</v>
      </c>
      <c r="BD108" s="91" t="s">
        <v>1569</v>
      </c>
      <c r="BE108" s="91" t="s">
        <v>1569</v>
      </c>
      <c r="BF108" s="91" t="s">
        <v>1569</v>
      </c>
      <c r="BG108" s="91" t="s">
        <v>1569</v>
      </c>
      <c r="BH108" s="91" t="s">
        <v>1569</v>
      </c>
      <c r="BI108" s="91" t="s">
        <v>1569</v>
      </c>
      <c r="BJ108" s="91" t="s">
        <v>1569</v>
      </c>
      <c r="BK108" s="91" t="s">
        <v>1569</v>
      </c>
      <c r="BL108" s="102" t="s">
        <v>1957</v>
      </c>
    </row>
    <row r="109" spans="2:64" ht="15" customHeight="1" x14ac:dyDescent="0.15">
      <c r="C109" s="75"/>
      <c r="D109" s="75" t="s">
        <v>40</v>
      </c>
      <c r="E109" s="154" t="s">
        <v>40</v>
      </c>
      <c r="F109" s="75" t="s">
        <v>40</v>
      </c>
      <c r="G109" s="75" t="s">
        <v>40</v>
      </c>
      <c r="H109" s="197" t="str">
        <f t="shared" ca="1" si="2"/>
        <v>-</v>
      </c>
      <c r="I109" s="197"/>
      <c r="K109" s="91"/>
      <c r="L109" s="151">
        <f t="shared" si="6"/>
        <v>0</v>
      </c>
      <c r="N109" s="124" t="str">
        <f t="shared" si="3"/>
        <v/>
      </c>
      <c r="P109" s="118">
        <f t="shared" si="7"/>
        <v>1</v>
      </c>
      <c r="Q109" s="118">
        <f t="shared" si="4"/>
        <v>1</v>
      </c>
      <c r="R109" s="118"/>
      <c r="S109" s="119"/>
      <c r="T109" s="160">
        <f t="shared" ca="1" si="5"/>
        <v>0</v>
      </c>
      <c r="Y109" s="91"/>
      <c r="Z109" s="91"/>
      <c r="AA109" s="91"/>
      <c r="AB109" s="91"/>
      <c r="AC109" s="91"/>
      <c r="AD109" s="91"/>
      <c r="AZ109" s="102">
        <v>109</v>
      </c>
      <c r="BA109" s="91" t="s">
        <v>1569</v>
      </c>
      <c r="BB109" s="91" t="s">
        <v>1569</v>
      </c>
      <c r="BC109" s="91" t="s">
        <v>1569</v>
      </c>
      <c r="BD109" s="91" t="s">
        <v>1569</v>
      </c>
      <c r="BE109" s="91" t="s">
        <v>1569</v>
      </c>
      <c r="BF109" s="91" t="s">
        <v>1569</v>
      </c>
      <c r="BG109" s="91" t="s">
        <v>1569</v>
      </c>
      <c r="BH109" s="91" t="s">
        <v>1569</v>
      </c>
      <c r="BI109" s="91" t="s">
        <v>1569</v>
      </c>
      <c r="BJ109" s="91" t="s">
        <v>1569</v>
      </c>
      <c r="BK109" s="91" t="s">
        <v>1569</v>
      </c>
      <c r="BL109" s="102" t="s">
        <v>1957</v>
      </c>
    </row>
    <row r="110" spans="2:64" ht="15" customHeight="1" x14ac:dyDescent="0.15">
      <c r="C110" s="75"/>
      <c r="D110" s="75" t="s">
        <v>40</v>
      </c>
      <c r="E110" s="154" t="s">
        <v>40</v>
      </c>
      <c r="F110" s="75" t="s">
        <v>40</v>
      </c>
      <c r="G110" s="75" t="s">
        <v>40</v>
      </c>
      <c r="H110" s="197" t="str">
        <f t="shared" ca="1" si="2"/>
        <v>-</v>
      </c>
      <c r="I110" s="197"/>
      <c r="K110" s="91"/>
      <c r="L110" s="151">
        <f t="shared" si="6"/>
        <v>0</v>
      </c>
      <c r="N110" s="124" t="str">
        <f t="shared" si="3"/>
        <v/>
      </c>
      <c r="P110" s="118">
        <f t="shared" si="7"/>
        <v>1</v>
      </c>
      <c r="Q110" s="118">
        <f t="shared" si="4"/>
        <v>1</v>
      </c>
      <c r="R110" s="118"/>
      <c r="S110" s="119"/>
      <c r="T110" s="160">
        <f t="shared" ca="1" si="5"/>
        <v>0</v>
      </c>
      <c r="Y110" s="91"/>
      <c r="Z110" s="91"/>
      <c r="AA110" s="91"/>
      <c r="AB110" s="91"/>
      <c r="AC110" s="91"/>
      <c r="AD110" s="91"/>
      <c r="AZ110" s="102">
        <v>110</v>
      </c>
      <c r="BA110" s="91" t="s">
        <v>1569</v>
      </c>
      <c r="BB110" s="91" t="s">
        <v>1569</v>
      </c>
      <c r="BC110" s="91" t="s">
        <v>1569</v>
      </c>
      <c r="BD110" s="91" t="s">
        <v>1569</v>
      </c>
      <c r="BE110" s="91" t="s">
        <v>1569</v>
      </c>
      <c r="BF110" s="91" t="s">
        <v>1569</v>
      </c>
      <c r="BG110" s="91" t="s">
        <v>1569</v>
      </c>
      <c r="BH110" s="91" t="s">
        <v>1569</v>
      </c>
      <c r="BI110" s="91" t="s">
        <v>1569</v>
      </c>
      <c r="BJ110" s="91" t="s">
        <v>1569</v>
      </c>
      <c r="BK110" s="91" t="s">
        <v>1569</v>
      </c>
      <c r="BL110" s="102" t="s">
        <v>1957</v>
      </c>
    </row>
    <row r="111" spans="2:64" ht="15" customHeight="1" x14ac:dyDescent="0.15">
      <c r="C111" s="75"/>
      <c r="D111" s="75" t="s">
        <v>40</v>
      </c>
      <c r="E111" s="154" t="s">
        <v>40</v>
      </c>
      <c r="F111" s="75" t="s">
        <v>40</v>
      </c>
      <c r="G111" s="75" t="s">
        <v>40</v>
      </c>
      <c r="H111" s="197" t="str">
        <f t="shared" ca="1" si="2"/>
        <v>-</v>
      </c>
      <c r="I111" s="197"/>
      <c r="K111" s="91"/>
      <c r="L111" s="151">
        <f t="shared" si="6"/>
        <v>0</v>
      </c>
      <c r="N111" s="124" t="str">
        <f t="shared" si="3"/>
        <v/>
      </c>
      <c r="P111" s="118">
        <f t="shared" si="7"/>
        <v>1</v>
      </c>
      <c r="Q111" s="118">
        <f t="shared" si="4"/>
        <v>1</v>
      </c>
      <c r="R111" s="118"/>
      <c r="S111" s="119"/>
      <c r="T111" s="160">
        <f t="shared" ca="1" si="5"/>
        <v>0</v>
      </c>
      <c r="Z111" s="91"/>
      <c r="AA111" s="91"/>
      <c r="AB111" s="91"/>
      <c r="AC111" s="91"/>
      <c r="AD111" s="91"/>
      <c r="AZ111" s="102">
        <v>111</v>
      </c>
      <c r="BA111" s="91" t="s">
        <v>1569</v>
      </c>
      <c r="BB111" s="91" t="s">
        <v>1569</v>
      </c>
      <c r="BC111" s="91" t="s">
        <v>1569</v>
      </c>
      <c r="BD111" s="91" t="s">
        <v>1569</v>
      </c>
      <c r="BE111" s="91" t="s">
        <v>1569</v>
      </c>
      <c r="BF111" s="91" t="s">
        <v>1569</v>
      </c>
      <c r="BG111" s="91" t="s">
        <v>1569</v>
      </c>
      <c r="BH111" s="91" t="s">
        <v>1569</v>
      </c>
      <c r="BI111" s="91" t="s">
        <v>1569</v>
      </c>
      <c r="BJ111" s="91" t="s">
        <v>1569</v>
      </c>
      <c r="BK111" s="91" t="s">
        <v>1569</v>
      </c>
      <c r="BL111" s="102" t="s">
        <v>1957</v>
      </c>
    </row>
    <row r="112" spans="2:64" ht="15" customHeight="1" x14ac:dyDescent="0.15">
      <c r="C112" s="75"/>
      <c r="D112" s="75" t="s">
        <v>40</v>
      </c>
      <c r="E112" s="154" t="s">
        <v>40</v>
      </c>
      <c r="F112" s="75" t="s">
        <v>40</v>
      </c>
      <c r="G112" s="75" t="s">
        <v>40</v>
      </c>
      <c r="H112" s="197" t="str">
        <f t="shared" ca="1" si="2"/>
        <v>-</v>
      </c>
      <c r="I112" s="197"/>
      <c r="K112" s="91"/>
      <c r="L112" s="151">
        <f t="shared" si="6"/>
        <v>0</v>
      </c>
      <c r="N112" s="124" t="str">
        <f t="shared" si="3"/>
        <v/>
      </c>
      <c r="P112" s="118">
        <f t="shared" si="7"/>
        <v>1</v>
      </c>
      <c r="Q112" s="118">
        <f t="shared" si="4"/>
        <v>1</v>
      </c>
      <c r="R112" s="118"/>
      <c r="S112" s="119"/>
      <c r="T112" s="160">
        <f t="shared" ca="1" si="5"/>
        <v>0</v>
      </c>
      <c r="Y112" s="91" t="s">
        <v>302</v>
      </c>
      <c r="Z112" s="91"/>
      <c r="AA112" s="91"/>
      <c r="AB112" s="91"/>
      <c r="AC112" s="91"/>
      <c r="AD112" s="91"/>
      <c r="AZ112" s="102">
        <v>112</v>
      </c>
      <c r="BA112" s="91" t="s">
        <v>1569</v>
      </c>
      <c r="BB112" s="91" t="s">
        <v>1569</v>
      </c>
      <c r="BC112" s="91" t="s">
        <v>1569</v>
      </c>
      <c r="BD112" s="91" t="s">
        <v>1569</v>
      </c>
      <c r="BE112" s="91" t="s">
        <v>1569</v>
      </c>
      <c r="BF112" s="91" t="s">
        <v>1569</v>
      </c>
      <c r="BG112" s="91" t="s">
        <v>1569</v>
      </c>
      <c r="BH112" s="91" t="s">
        <v>1569</v>
      </c>
      <c r="BI112" s="91" t="s">
        <v>1569</v>
      </c>
      <c r="BJ112" s="91" t="s">
        <v>1569</v>
      </c>
      <c r="BK112" s="91" t="s">
        <v>1569</v>
      </c>
      <c r="BL112" s="102" t="s">
        <v>1957</v>
      </c>
    </row>
    <row r="113" spans="2:64" ht="15" customHeight="1" x14ac:dyDescent="0.15">
      <c r="C113" s="75"/>
      <c r="D113" s="75" t="s">
        <v>40</v>
      </c>
      <c r="E113" s="154" t="s">
        <v>40</v>
      </c>
      <c r="F113" s="75" t="s">
        <v>40</v>
      </c>
      <c r="G113" s="75" t="s">
        <v>40</v>
      </c>
      <c r="H113" s="197" t="str">
        <f t="shared" ca="1" si="2"/>
        <v>-</v>
      </c>
      <c r="I113" s="197"/>
      <c r="K113" s="91"/>
      <c r="L113" s="151">
        <f t="shared" si="6"/>
        <v>0</v>
      </c>
      <c r="N113" s="124" t="str">
        <f t="shared" si="3"/>
        <v/>
      </c>
      <c r="P113" s="118">
        <f t="shared" si="7"/>
        <v>1</v>
      </c>
      <c r="Q113" s="118">
        <f t="shared" si="4"/>
        <v>1</v>
      </c>
      <c r="R113" s="118"/>
      <c r="S113" s="119"/>
      <c r="T113" s="160">
        <f t="shared" ca="1" si="5"/>
        <v>0</v>
      </c>
      <c r="Y113" s="76">
        <f>SUM(L101:L113)/2</f>
        <v>69000</v>
      </c>
      <c r="Z113" s="91"/>
      <c r="AA113" s="91"/>
      <c r="AB113" s="91"/>
      <c r="AC113" s="91"/>
      <c r="AD113" s="91"/>
      <c r="AE113" s="164"/>
      <c r="AF113" s="164"/>
      <c r="AG113" s="164"/>
      <c r="AZ113" s="102">
        <v>113</v>
      </c>
      <c r="BA113" s="91" t="s">
        <v>1569</v>
      </c>
      <c r="BB113" s="91" t="s">
        <v>1569</v>
      </c>
      <c r="BC113" s="91" t="s">
        <v>1569</v>
      </c>
      <c r="BD113" s="91" t="s">
        <v>1569</v>
      </c>
      <c r="BE113" s="91" t="s">
        <v>1569</v>
      </c>
      <c r="BF113" s="91" t="s">
        <v>1569</v>
      </c>
      <c r="BG113" s="91" t="s">
        <v>1569</v>
      </c>
      <c r="BH113" s="91" t="s">
        <v>1569</v>
      </c>
      <c r="BI113" s="91" t="s">
        <v>1569</v>
      </c>
      <c r="BJ113" s="91" t="s">
        <v>1569</v>
      </c>
      <c r="BK113" s="91" t="s">
        <v>1569</v>
      </c>
      <c r="BL113" s="102" t="s">
        <v>1957</v>
      </c>
    </row>
    <row r="114" spans="2:64" ht="9.9499999999999993" customHeight="1" x14ac:dyDescent="0.15">
      <c r="C114" s="91"/>
      <c r="D114" s="91"/>
      <c r="E114" s="152"/>
      <c r="F114" s="91"/>
      <c r="G114" s="91"/>
      <c r="H114" s="91"/>
      <c r="I114" s="91"/>
      <c r="K114" s="91"/>
      <c r="L114" s="91"/>
      <c r="N114" s="117"/>
      <c r="P114" s="118"/>
      <c r="Q114" s="118"/>
      <c r="R114" s="118"/>
      <c r="S114" s="119"/>
      <c r="T114" s="160">
        <f ca="1">SUM(T101:T113)</f>
        <v>130500</v>
      </c>
      <c r="Z114" s="91"/>
      <c r="AA114" s="91"/>
      <c r="AB114" s="91"/>
      <c r="AC114" s="91"/>
      <c r="AD114" s="91"/>
      <c r="AZ114" s="102">
        <v>114</v>
      </c>
      <c r="BA114" s="91" t="s">
        <v>1569</v>
      </c>
      <c r="BB114" s="91" t="s">
        <v>1569</v>
      </c>
      <c r="BC114" s="91" t="s">
        <v>1569</v>
      </c>
      <c r="BD114" s="91" t="s">
        <v>1569</v>
      </c>
      <c r="BE114" s="91" t="s">
        <v>1569</v>
      </c>
      <c r="BF114" s="91" t="s">
        <v>1569</v>
      </c>
      <c r="BG114" s="91" t="s">
        <v>1569</v>
      </c>
      <c r="BH114" s="91" t="s">
        <v>1569</v>
      </c>
      <c r="BI114" s="91" t="s">
        <v>1569</v>
      </c>
      <c r="BJ114" s="91" t="s">
        <v>1569</v>
      </c>
      <c r="BK114" s="91" t="s">
        <v>1569</v>
      </c>
      <c r="BL114" s="102"/>
    </row>
    <row r="115" spans="2:64" ht="15" customHeight="1" x14ac:dyDescent="0.15">
      <c r="B115" s="142" t="str">
        <f>VLOOKUP(BA115,trad_termini,ID_lingua,FALSE)</f>
        <v>Curved Conveying Sections</v>
      </c>
      <c r="C115" s="91"/>
      <c r="D115" s="91"/>
      <c r="E115" s="152"/>
      <c r="F115" s="91"/>
      <c r="G115" s="91"/>
      <c r="H115" s="91"/>
      <c r="I115" s="91"/>
      <c r="K115" s="91"/>
      <c r="L115" s="91"/>
      <c r="N115" s="117"/>
      <c r="P115" s="118"/>
      <c r="Q115" s="118"/>
      <c r="R115" s="118"/>
      <c r="S115" s="119"/>
      <c r="T115" s="160"/>
      <c r="Z115" s="91"/>
      <c r="AA115" s="91"/>
      <c r="AB115" s="91"/>
      <c r="AC115" s="91"/>
      <c r="AD115" s="91"/>
      <c r="AE115" s="221" t="s">
        <v>1165</v>
      </c>
      <c r="AF115" s="221"/>
      <c r="AG115" s="221"/>
      <c r="AZ115" s="102">
        <v>115</v>
      </c>
      <c r="BA115" s="91">
        <v>40</v>
      </c>
      <c r="BB115" s="91" t="s">
        <v>1569</v>
      </c>
      <c r="BC115" s="91" t="s">
        <v>1569</v>
      </c>
      <c r="BD115" s="91" t="s">
        <v>1569</v>
      </c>
      <c r="BE115" s="91" t="s">
        <v>1569</v>
      </c>
      <c r="BF115" s="91" t="s">
        <v>1569</v>
      </c>
      <c r="BG115" s="91" t="s">
        <v>1569</v>
      </c>
      <c r="BH115" s="91" t="s">
        <v>1569</v>
      </c>
      <c r="BI115" s="91" t="s">
        <v>1569</v>
      </c>
      <c r="BJ115" s="91" t="s">
        <v>1569</v>
      </c>
      <c r="BK115" s="91" t="s">
        <v>1569</v>
      </c>
      <c r="BL115" s="102"/>
    </row>
    <row r="116" spans="2:64" ht="15" customHeight="1" x14ac:dyDescent="0.15">
      <c r="C116" s="132" t="str">
        <f>VLOOKUP(BB116,trad_termini,ID_lingua,FALSE)</f>
        <v>Qty</v>
      </c>
      <c r="D116" s="132" t="str">
        <f>VLOOKUP(BC116,trad_termini,ID_lingua,FALSE)</f>
        <v>Degrees</v>
      </c>
      <c r="E116" s="132" t="str">
        <f>VLOOKUP(BD116,trad_termini,ID_lingua,FALSE)</f>
        <v>Bot. Radius</v>
      </c>
      <c r="F116" s="91"/>
      <c r="G116" s="188" t="str">
        <f>VLOOKUP(BF116,trad_termini,ID_lingua,FALSE)</f>
        <v>Drawing</v>
      </c>
      <c r="H116" s="188"/>
      <c r="I116" s="91"/>
      <c r="K116" s="91"/>
      <c r="L116" s="132" t="str">
        <f>VLOOKUP(BK116,trad_termini,ID_lingua,FALSE)</f>
        <v>Guide Lgth</v>
      </c>
      <c r="N116" s="124" t="str">
        <f>IF(flg_cur_ang=1,VLOOKUP(BL116,trad_termini,ID_lingua,FALSE),"")</f>
        <v/>
      </c>
      <c r="P116" s="118"/>
      <c r="Q116" s="118"/>
      <c r="R116" s="118">
        <f>IF(AND(macchina_tipo="C",ang_disc&gt;45),1,0)</f>
        <v>0</v>
      </c>
      <c r="S116" s="119" t="s">
        <v>705</v>
      </c>
      <c r="T116" s="160"/>
      <c r="V116" s="24" t="s">
        <v>1661</v>
      </c>
      <c r="Y116" s="91" t="s">
        <v>302</v>
      </c>
      <c r="Z116" s="91"/>
      <c r="AA116" s="91"/>
      <c r="AB116" s="91" t="s">
        <v>706</v>
      </c>
      <c r="AC116" s="91"/>
      <c r="AD116" s="91"/>
      <c r="AE116" s="91" t="s">
        <v>1167</v>
      </c>
      <c r="AF116" s="91" t="s">
        <v>1163</v>
      </c>
      <c r="AG116" s="91" t="s">
        <v>1164</v>
      </c>
      <c r="AZ116" s="102">
        <v>116</v>
      </c>
      <c r="BA116" s="91" t="s">
        <v>1569</v>
      </c>
      <c r="BB116" s="91">
        <v>128</v>
      </c>
      <c r="BC116" s="91">
        <v>78</v>
      </c>
      <c r="BD116" s="91">
        <v>131</v>
      </c>
      <c r="BE116" s="91" t="s">
        <v>1569</v>
      </c>
      <c r="BF116" s="91">
        <v>57</v>
      </c>
      <c r="BG116" s="91" t="s">
        <v>1569</v>
      </c>
      <c r="BH116" s="91" t="s">
        <v>1569</v>
      </c>
      <c r="BI116" s="91" t="s">
        <v>1569</v>
      </c>
      <c r="BJ116" s="91" t="s">
        <v>1569</v>
      </c>
      <c r="BK116" s="91">
        <v>90</v>
      </c>
      <c r="BL116" s="102"/>
    </row>
    <row r="117" spans="2:64" ht="15" customHeight="1" x14ac:dyDescent="0.15">
      <c r="B117" s="24" t="str">
        <f>VLOOKUP(BA117,trad_termini,ID_lingua,FALSE)</f>
        <v>Lower</v>
      </c>
      <c r="C117" s="75">
        <v>1</v>
      </c>
      <c r="D117" s="75">
        <v>40</v>
      </c>
      <c r="E117" s="151">
        <f>IF(C117=0,"-",VLOOKUP(mod_base,macchina_dati,4,FALSE))</f>
        <v>2000</v>
      </c>
      <c r="F117" s="91"/>
      <c r="G117" s="184" t="s">
        <v>2095</v>
      </c>
      <c r="H117" s="185"/>
      <c r="I117" s="91"/>
      <c r="K117" s="91"/>
      <c r="L117" s="136">
        <f>C117*IF(C117=0,0,2*(AE117+AF117+AG117))</f>
        <v>5528.5049386172377</v>
      </c>
      <c r="N117" s="124" t="str">
        <f>IF(AND(OR(macchina_tipo="V",macchina_tipo="C"),OR(D117="-",C117=0)),VLOOKUP(BL117,trad_termini,ID_lingua,FALSE),"")</f>
        <v/>
      </c>
      <c r="P117" s="118"/>
      <c r="Q117" s="118"/>
      <c r="R117" s="118">
        <f>IF(AND(OR(macchina_tipo="V",macchina_tipo="C"),C117=0),1,0)</f>
        <v>0</v>
      </c>
      <c r="S117" s="119" t="s">
        <v>703</v>
      </c>
      <c r="T117" s="158">
        <f ca="1">IFERROR(VLOOKUP(D117,INDIRECT(VLOOKUP(mod_base,macchina_dati,19,FALSE)),VLOOKUP(mod_base,macchina_dati,23,FALSE),FALSE),0)</f>
        <v>4033.2926592980762</v>
      </c>
      <c r="Y117" s="136">
        <f>IFERROR(((VLOOKUP(mod_base,macchina_dati,6,FALSE)-sp_guida-hm_cat)+(VLOOKUP(mod_base,macchina_dati,8,FALSE)-sp_guida-hm_cat))*D117*PI()/180,0)</f>
        <v>2217.2662817335963</v>
      </c>
      <c r="Z117" s="91"/>
      <c r="AA117" s="76">
        <f>IF(D117="-",0,D117)</f>
        <v>40</v>
      </c>
      <c r="AB117" s="186">
        <f>AA117-AA118</f>
        <v>5</v>
      </c>
      <c r="AC117" s="91"/>
      <c r="AD117" s="94"/>
      <c r="AE117" s="136">
        <f>(VLOOKUP(mod_base,macchina_dati,7,FALSE)+sp_guida/2)*($D117*PI()/180)</f>
        <v>1234.2968470103899</v>
      </c>
      <c r="AF117" s="136">
        <f>(VLOOKUP(mod_base,macchina_dati,8,FALSE)-sp_guida/2)*($D117*PI()/180)</f>
        <v>966.21427390406075</v>
      </c>
      <c r="AG117" s="136">
        <f>(VLOOKUP(mod_base,macchina_dati,9,FALSE)+sp_guida/2)*(VLOOKUP(D117,curva_dati,2,FALSE)*PI()/180)</f>
        <v>563.74134839416843</v>
      </c>
      <c r="AZ117" s="102">
        <v>117</v>
      </c>
      <c r="BA117" s="91">
        <v>86</v>
      </c>
      <c r="BB117" s="91" t="s">
        <v>1569</v>
      </c>
      <c r="BC117" s="91" t="s">
        <v>1569</v>
      </c>
      <c r="BD117" s="91" t="s">
        <v>1569</v>
      </c>
      <c r="BE117" s="91" t="s">
        <v>1569</v>
      </c>
      <c r="BF117" s="91" t="s">
        <v>1569</v>
      </c>
      <c r="BG117" s="91" t="s">
        <v>1569</v>
      </c>
      <c r="BH117" s="91" t="s">
        <v>1569</v>
      </c>
      <c r="BI117" s="91" t="s">
        <v>1569</v>
      </c>
      <c r="BJ117" s="91" t="s">
        <v>1569</v>
      </c>
      <c r="BK117" s="91" t="s">
        <v>1569</v>
      </c>
      <c r="BL117" s="102" t="s">
        <v>1961</v>
      </c>
    </row>
    <row r="118" spans="2:64" ht="15" customHeight="1" x14ac:dyDescent="0.15">
      <c r="B118" s="24" t="str">
        <f>VLOOKUP(BA118,trad_termini,ID_lingua,FALSE)</f>
        <v>Upper</v>
      </c>
      <c r="C118" s="75">
        <v>1</v>
      </c>
      <c r="D118" s="75">
        <v>35</v>
      </c>
      <c r="E118" s="151">
        <f>IF(C118=0,"-",VLOOKUP(mod_base,macchina_dati,5,FALSE))</f>
        <v>1500</v>
      </c>
      <c r="F118" s="91"/>
      <c r="G118" s="184" t="s">
        <v>2096</v>
      </c>
      <c r="H118" s="185"/>
      <c r="I118" s="91"/>
      <c r="K118" s="91"/>
      <c r="L118" s="136">
        <f>C118*IF(C118=0,0,2*(AE118+AF118))</f>
        <v>4596.1500522018669</v>
      </c>
      <c r="N118" s="124" t="str">
        <f>IF(AND(macchina_tipo="C",OR(D118="-",C118=0)),VLOOKUP(BL118,trad_termini,ID_lingua,FALSE),"")</f>
        <v/>
      </c>
      <c r="P118" s="118"/>
      <c r="Q118" s="118"/>
      <c r="R118" s="118">
        <f>IF(AND(macchina_tipo="C",C118=0),1,0)</f>
        <v>0</v>
      </c>
      <c r="S118" s="119" t="s">
        <v>704</v>
      </c>
      <c r="T118" s="158">
        <f ca="1">IFERROR(VLOOKUP(D118,INDIRECT(VLOOKUP(mod_base,macchina_dati,20,FALSE)),VLOOKUP(mod_base,macchina_dati,23,FALSE),FALSE),0)</f>
        <v>5423.8086154624452</v>
      </c>
      <c r="Y118" s="136">
        <f>IFERROR(((VLOOKUP(mod_base,macchina_dati,10,FALSE)+sp_guida+hm_cat)+(VLOOKUP(mod_base,macchina_dati,11,FALSE)+sp_guida+hm_cat))*D118*PI()/180,0)</f>
        <v>2335.9486708692107</v>
      </c>
      <c r="Z118" s="91"/>
      <c r="AA118" s="159">
        <f>IF(D118="-",0,D118)</f>
        <v>35</v>
      </c>
      <c r="AB118" s="187"/>
      <c r="AC118" s="91"/>
      <c r="AD118" s="94"/>
      <c r="AE118" s="136">
        <f>IFERROR((VLOOKUP(mod_base,macchina_dati,10,FALSE)+sp_guida/2)*($D118*PI()/180),0)</f>
        <v>1005.4841820739332</v>
      </c>
      <c r="AF118" s="136">
        <f>IFERROR((VLOOKUP(mod_base,macchina_dati,11,FALSE)+sp_guida/2)*($D118*PI()/180),0)</f>
        <v>1292.5908440270005</v>
      </c>
      <c r="AZ118" s="102">
        <v>118</v>
      </c>
      <c r="BA118" s="91">
        <v>159</v>
      </c>
      <c r="BB118" s="91" t="s">
        <v>1569</v>
      </c>
      <c r="BC118" s="91" t="s">
        <v>1569</v>
      </c>
      <c r="BD118" s="91" t="s">
        <v>1569</v>
      </c>
      <c r="BE118" s="91" t="s">
        <v>1569</v>
      </c>
      <c r="BF118" s="91" t="s">
        <v>1569</v>
      </c>
      <c r="BG118" s="91" t="s">
        <v>1569</v>
      </c>
      <c r="BH118" s="91" t="s">
        <v>1569</v>
      </c>
      <c r="BI118" s="91" t="s">
        <v>1569</v>
      </c>
      <c r="BJ118" s="91" t="s">
        <v>1569</v>
      </c>
      <c r="BK118" s="91" t="s">
        <v>1569</v>
      </c>
      <c r="BL118" s="102" t="s">
        <v>1961</v>
      </c>
    </row>
    <row r="119" spans="2:64" ht="9.9499999999999993" customHeight="1" x14ac:dyDescent="0.15">
      <c r="C119" s="91"/>
      <c r="D119" s="91"/>
      <c r="E119" s="152"/>
      <c r="F119" s="91"/>
      <c r="G119" s="91"/>
      <c r="H119" s="91"/>
      <c r="I119" s="91"/>
      <c r="K119" s="91"/>
      <c r="L119" s="165"/>
      <c r="N119" s="124"/>
      <c r="P119" s="118"/>
      <c r="Q119" s="118"/>
      <c r="R119" s="118"/>
      <c r="S119" s="119"/>
      <c r="T119" s="160"/>
      <c r="Y119" s="165"/>
      <c r="Z119" s="91"/>
      <c r="AA119" s="91"/>
      <c r="AB119" s="91"/>
      <c r="AC119" s="91"/>
      <c r="AD119" s="91"/>
      <c r="AZ119" s="102">
        <v>119</v>
      </c>
      <c r="BA119" s="91" t="s">
        <v>1569</v>
      </c>
      <c r="BB119" s="91" t="s">
        <v>1569</v>
      </c>
      <c r="BC119" s="91" t="s">
        <v>1569</v>
      </c>
      <c r="BD119" s="91" t="s">
        <v>1569</v>
      </c>
      <c r="BE119" s="91" t="s">
        <v>1569</v>
      </c>
      <c r="BF119" s="91" t="s">
        <v>1569</v>
      </c>
      <c r="BG119" s="91" t="s">
        <v>1569</v>
      </c>
      <c r="BH119" s="91" t="s">
        <v>1569</v>
      </c>
      <c r="BI119" s="91" t="s">
        <v>1569</v>
      </c>
      <c r="BJ119" s="91" t="s">
        <v>1569</v>
      </c>
      <c r="BK119" s="91" t="s">
        <v>1569</v>
      </c>
      <c r="BL119" s="102"/>
    </row>
    <row r="120" spans="2:64" ht="15" customHeight="1" x14ac:dyDescent="0.15">
      <c r="C120" s="91"/>
      <c r="D120" s="91"/>
      <c r="E120" s="152"/>
      <c r="F120" s="91"/>
      <c r="G120" s="91"/>
      <c r="H120" s="91"/>
      <c r="I120" s="91"/>
      <c r="K120" s="91"/>
      <c r="L120" s="91" t="str">
        <f>VLOOKUP(BK120,trad_termini,ID_lingua,FALSE)</f>
        <v>Tot. Guide Lgth</v>
      </c>
      <c r="N120" s="117"/>
      <c r="P120" s="118"/>
      <c r="Q120" s="118"/>
      <c r="R120" s="118"/>
      <c r="S120" s="119"/>
      <c r="T120" s="160"/>
      <c r="Y120" s="91"/>
      <c r="Z120" s="91"/>
      <c r="AA120" s="91"/>
      <c r="AB120" s="91"/>
      <c r="AC120" s="91"/>
      <c r="AD120" s="91"/>
      <c r="AE120" s="164"/>
      <c r="AF120" s="164"/>
      <c r="AZ120" s="102">
        <v>120</v>
      </c>
      <c r="BA120" s="91" t="s">
        <v>1569</v>
      </c>
      <c r="BB120" s="91" t="s">
        <v>1569</v>
      </c>
      <c r="BC120" s="91" t="s">
        <v>1569</v>
      </c>
      <c r="BD120" s="91" t="s">
        <v>1569</v>
      </c>
      <c r="BE120" s="91" t="s">
        <v>1569</v>
      </c>
      <c r="BF120" s="91" t="s">
        <v>1569</v>
      </c>
      <c r="BG120" s="91" t="s">
        <v>1569</v>
      </c>
      <c r="BH120" s="91" t="s">
        <v>1569</v>
      </c>
      <c r="BI120" s="91" t="s">
        <v>1569</v>
      </c>
      <c r="BJ120" s="91" t="s">
        <v>1569</v>
      </c>
      <c r="BK120" s="91">
        <v>91</v>
      </c>
      <c r="BL120" s="102"/>
    </row>
    <row r="121" spans="2:64" ht="15" customHeight="1" x14ac:dyDescent="0.15">
      <c r="C121" s="91"/>
      <c r="D121" s="91"/>
      <c r="E121" s="152"/>
      <c r="F121" s="91"/>
      <c r="G121" s="91"/>
      <c r="H121" s="91"/>
      <c r="I121" s="91"/>
      <c r="L121" s="136">
        <f>CEILING((SUM(L101:L113)+L117+L118),100)</f>
        <v>148200</v>
      </c>
      <c r="N121" s="117"/>
      <c r="P121" s="118"/>
      <c r="Q121" s="118"/>
      <c r="R121" s="118"/>
      <c r="S121" s="119"/>
      <c r="T121" s="160"/>
      <c r="Y121" s="91" t="s">
        <v>1645</v>
      </c>
      <c r="Z121" s="91"/>
      <c r="AA121" s="91"/>
      <c r="AB121" s="91"/>
      <c r="AC121" s="91"/>
      <c r="AD121" s="91"/>
      <c r="AZ121" s="102">
        <v>121</v>
      </c>
      <c r="BA121" s="91" t="s">
        <v>1569</v>
      </c>
      <c r="BB121" s="91" t="s">
        <v>1569</v>
      </c>
      <c r="BC121" s="91" t="s">
        <v>1569</v>
      </c>
      <c r="BD121" s="91" t="s">
        <v>1569</v>
      </c>
      <c r="BE121" s="91" t="s">
        <v>1569</v>
      </c>
      <c r="BF121" s="91" t="s">
        <v>1569</v>
      </c>
      <c r="BG121" s="91" t="s">
        <v>1569</v>
      </c>
      <c r="BH121" s="91" t="s">
        <v>1569</v>
      </c>
      <c r="BI121" s="91" t="s">
        <v>1569</v>
      </c>
      <c r="BJ121" s="91" t="s">
        <v>1569</v>
      </c>
      <c r="BK121" s="91" t="s">
        <v>1569</v>
      </c>
      <c r="BL121" s="102"/>
    </row>
    <row r="122" spans="2:64" ht="15" customHeight="1" x14ac:dyDescent="0.15">
      <c r="C122" s="91"/>
      <c r="D122" s="91"/>
      <c r="E122" s="152"/>
      <c r="F122" s="91"/>
      <c r="G122" s="91"/>
      <c r="H122" s="91"/>
      <c r="I122" s="91"/>
      <c r="J122" s="91"/>
      <c r="K122" s="93"/>
      <c r="L122" s="165"/>
      <c r="N122" s="117"/>
      <c r="P122" s="118"/>
      <c r="Q122" s="118"/>
      <c r="R122" s="118"/>
      <c r="S122" s="119"/>
      <c r="T122" s="160"/>
      <c r="Y122" s="91"/>
      <c r="Z122" s="91"/>
      <c r="AA122" s="91"/>
      <c r="AB122" s="91"/>
      <c r="AC122" s="91"/>
      <c r="AD122" s="91"/>
      <c r="AZ122" s="102">
        <v>122</v>
      </c>
      <c r="BA122" s="91" t="s">
        <v>1569</v>
      </c>
      <c r="BB122" s="91" t="s">
        <v>1569</v>
      </c>
      <c r="BC122" s="91" t="s">
        <v>1569</v>
      </c>
      <c r="BD122" s="91" t="s">
        <v>1569</v>
      </c>
      <c r="BE122" s="91" t="s">
        <v>1569</v>
      </c>
      <c r="BF122" s="91" t="s">
        <v>1569</v>
      </c>
      <c r="BG122" s="91" t="s">
        <v>1569</v>
      </c>
      <c r="BH122" s="91" t="s">
        <v>1569</v>
      </c>
      <c r="BI122" s="91" t="s">
        <v>1569</v>
      </c>
      <c r="BJ122" s="91" t="s">
        <v>1569</v>
      </c>
      <c r="BK122" s="91" t="s">
        <v>1569</v>
      </c>
      <c r="BL122" s="102"/>
    </row>
    <row r="123" spans="2:64" ht="15" customHeight="1" x14ac:dyDescent="0.15">
      <c r="B123" s="142" t="str">
        <f>VLOOKUP(BA123,trad_termini,ID_lingua,FALSE)</f>
        <v>Gaskets</v>
      </c>
      <c r="C123" s="91"/>
      <c r="D123" s="91"/>
      <c r="G123" s="91"/>
      <c r="H123" s="91"/>
      <c r="I123" s="91"/>
      <c r="J123" s="91"/>
      <c r="K123" s="93"/>
      <c r="L123" s="165"/>
      <c r="N123" s="117"/>
      <c r="P123" s="118"/>
      <c r="Q123" s="118"/>
      <c r="R123" s="118"/>
      <c r="S123" s="119"/>
      <c r="T123" s="160"/>
      <c r="Y123" s="91"/>
      <c r="Z123" s="91"/>
      <c r="AA123" s="91"/>
      <c r="AB123" s="91"/>
      <c r="AC123" s="91"/>
      <c r="AD123" s="91"/>
      <c r="AZ123" s="102">
        <v>123</v>
      </c>
      <c r="BA123" s="91">
        <v>80</v>
      </c>
      <c r="BB123" s="91" t="s">
        <v>1569</v>
      </c>
      <c r="BC123" s="91" t="s">
        <v>1569</v>
      </c>
      <c r="BD123" s="91" t="s">
        <v>1569</v>
      </c>
      <c r="BE123" s="91" t="s">
        <v>1569</v>
      </c>
      <c r="BF123" s="91" t="s">
        <v>1569</v>
      </c>
      <c r="BG123" s="91" t="s">
        <v>1569</v>
      </c>
      <c r="BH123" s="91" t="s">
        <v>1569</v>
      </c>
      <c r="BI123" s="91" t="s">
        <v>1569</v>
      </c>
      <c r="BJ123" s="91" t="s">
        <v>1569</v>
      </c>
      <c r="BK123" s="91" t="s">
        <v>1569</v>
      </c>
      <c r="BL123" s="102"/>
    </row>
    <row r="124" spans="2:64" ht="15" customHeight="1" x14ac:dyDescent="0.15">
      <c r="B124" s="166" t="str">
        <f>VLOOKUP(BA124,trad_termini,ID_lingua,FALSE)</f>
        <v>Covers</v>
      </c>
      <c r="D124" s="24" t="s">
        <v>1664</v>
      </c>
      <c r="E124" s="91" t="s">
        <v>1665</v>
      </c>
      <c r="F124" s="76">
        <f ca="1">CEILING((L_guarn_tot+1000)/1000,1)</f>
        <v>169</v>
      </c>
      <c r="G124" s="93" t="s">
        <v>724</v>
      </c>
      <c r="H124" s="91"/>
      <c r="I124" s="91"/>
      <c r="J124" s="91"/>
      <c r="K124" s="93"/>
      <c r="L124" s="165"/>
      <c r="N124" s="117"/>
      <c r="P124" s="118"/>
      <c r="Q124" s="118"/>
      <c r="R124" s="118"/>
      <c r="S124" s="119"/>
      <c r="T124" s="167">
        <f ca="1">T90+T92+L_guarn_casse+T117+T118</f>
        <v>167697.10127476053</v>
      </c>
      <c r="Y124" s="91"/>
      <c r="Z124" s="91"/>
      <c r="AA124" s="91"/>
      <c r="AB124" s="91"/>
      <c r="AC124" s="91"/>
      <c r="AD124" s="91"/>
      <c r="AZ124" s="102">
        <v>124</v>
      </c>
      <c r="BA124" s="91">
        <v>37</v>
      </c>
      <c r="BB124" s="91" t="s">
        <v>1569</v>
      </c>
      <c r="BC124" s="91">
        <v>110</v>
      </c>
      <c r="BD124" s="91" t="s">
        <v>1569</v>
      </c>
      <c r="BE124" s="91" t="s">
        <v>1569</v>
      </c>
      <c r="BF124" s="91" t="s">
        <v>1569</v>
      </c>
      <c r="BG124" s="91" t="s">
        <v>1569</v>
      </c>
      <c r="BH124" s="91" t="s">
        <v>1569</v>
      </c>
      <c r="BI124" s="91" t="s">
        <v>1569</v>
      </c>
      <c r="BJ124" s="91" t="s">
        <v>1569</v>
      </c>
      <c r="BK124" s="91" t="s">
        <v>1569</v>
      </c>
      <c r="BL124" s="102"/>
    </row>
    <row r="125" spans="2:64" ht="15" customHeight="1" x14ac:dyDescent="0.15">
      <c r="B125" s="166" t="str">
        <f>VLOOKUP(BA125,trad_termini,ID_lingua,FALSE)</f>
        <v>Return Head</v>
      </c>
      <c r="D125" s="24" t="str">
        <f>VLOOKUP(BC125,trad_termini,ID_lingua,FALSE)</f>
        <v>Felt</v>
      </c>
      <c r="E125" s="91" t="s">
        <v>1667</v>
      </c>
      <c r="F125" s="137">
        <f>VLOOKUP(mod_base,rinvio_dati,21,FALSE)</f>
        <v>4.5999999999999996</v>
      </c>
      <c r="G125" s="93" t="s">
        <v>724</v>
      </c>
      <c r="H125" s="91"/>
      <c r="I125" s="91"/>
      <c r="J125" s="91"/>
      <c r="K125" s="93"/>
      <c r="L125" s="165"/>
      <c r="N125" s="117"/>
      <c r="P125" s="118"/>
      <c r="Q125" s="118"/>
      <c r="R125" s="118"/>
      <c r="S125" s="119"/>
      <c r="T125" s="168"/>
      <c r="Y125" s="91"/>
      <c r="Z125" s="91"/>
      <c r="AA125" s="91"/>
      <c r="AB125" s="91"/>
      <c r="AC125" s="91"/>
      <c r="AD125" s="91"/>
      <c r="AZ125" s="102">
        <v>125</v>
      </c>
      <c r="BA125" s="91">
        <v>138</v>
      </c>
      <c r="BB125" s="91" t="s">
        <v>1569</v>
      </c>
      <c r="BC125" s="91">
        <v>66</v>
      </c>
      <c r="BD125" s="91" t="s">
        <v>1569</v>
      </c>
      <c r="BE125" s="91" t="s">
        <v>1569</v>
      </c>
      <c r="BF125" s="91" t="s">
        <v>1569</v>
      </c>
      <c r="BG125" s="91" t="s">
        <v>1569</v>
      </c>
      <c r="BH125" s="91" t="s">
        <v>1569</v>
      </c>
      <c r="BI125" s="91" t="s">
        <v>1569</v>
      </c>
      <c r="BJ125" s="91" t="s">
        <v>1569</v>
      </c>
      <c r="BK125" s="91" t="s">
        <v>1569</v>
      </c>
      <c r="BL125" s="102"/>
    </row>
    <row r="126" spans="2:64" ht="15" customHeight="1" x14ac:dyDescent="0.15">
      <c r="C126" s="91"/>
      <c r="D126" s="91"/>
      <c r="E126" s="152"/>
      <c r="F126" s="91"/>
      <c r="G126" s="91"/>
      <c r="H126" s="91"/>
      <c r="I126" s="91"/>
      <c r="J126" s="91"/>
      <c r="K126" s="93"/>
      <c r="L126" s="165"/>
      <c r="N126" s="117"/>
      <c r="P126" s="118"/>
      <c r="Q126" s="118"/>
      <c r="R126" s="118"/>
      <c r="S126" s="119"/>
      <c r="T126" s="168"/>
      <c r="Y126" s="91"/>
      <c r="Z126" s="91"/>
      <c r="AA126" s="91"/>
      <c r="AB126" s="91"/>
      <c r="AC126" s="91"/>
      <c r="AD126" s="91"/>
      <c r="AZ126" s="102">
        <v>126</v>
      </c>
      <c r="BA126" s="91" t="s">
        <v>1569</v>
      </c>
      <c r="BB126" s="91" t="s">
        <v>1569</v>
      </c>
      <c r="BC126" s="91" t="s">
        <v>1569</v>
      </c>
      <c r="BD126" s="91" t="s">
        <v>1569</v>
      </c>
      <c r="BE126" s="91" t="s">
        <v>1569</v>
      </c>
      <c r="BF126" s="91" t="s">
        <v>1569</v>
      </c>
      <c r="BG126" s="91" t="s">
        <v>1569</v>
      </c>
      <c r="BH126" s="91" t="s">
        <v>1569</v>
      </c>
      <c r="BI126" s="91" t="s">
        <v>1569</v>
      </c>
      <c r="BJ126" s="91" t="s">
        <v>1569</v>
      </c>
      <c r="BK126" s="91" t="s">
        <v>1569</v>
      </c>
      <c r="BL126" s="102"/>
    </row>
    <row r="127" spans="2:64" ht="15" customHeight="1" x14ac:dyDescent="0.15">
      <c r="B127" s="142" t="str">
        <f>VLOOKUP(BA127,trad_termini,ID_lingua,FALSE)</f>
        <v>Support Brackets</v>
      </c>
      <c r="C127" s="91"/>
      <c r="D127" s="91"/>
      <c r="E127" s="152"/>
      <c r="F127" s="91"/>
      <c r="G127" s="91"/>
      <c r="H127" s="91"/>
      <c r="I127" s="91"/>
      <c r="J127" s="165"/>
      <c r="K127" s="91"/>
      <c r="L127" s="91"/>
      <c r="N127" s="117"/>
      <c r="P127" s="118"/>
      <c r="Q127" s="118"/>
      <c r="R127" s="118"/>
      <c r="S127" s="119"/>
      <c r="Y127" s="91">
        <v>17</v>
      </c>
      <c r="Z127" s="91">
        <v>18</v>
      </c>
      <c r="AA127" s="91">
        <v>19</v>
      </c>
      <c r="AB127" s="91">
        <v>20</v>
      </c>
      <c r="AC127" s="91">
        <v>21</v>
      </c>
      <c r="AD127" s="91">
        <v>22</v>
      </c>
      <c r="AE127" s="24">
        <v>23</v>
      </c>
      <c r="AF127" s="24" t="s">
        <v>1657</v>
      </c>
      <c r="AG127" s="24" t="s">
        <v>638</v>
      </c>
      <c r="AZ127" s="102">
        <v>127</v>
      </c>
      <c r="BA127" s="91">
        <v>158</v>
      </c>
      <c r="BB127" s="91" t="s">
        <v>1569</v>
      </c>
      <c r="BC127" s="91" t="s">
        <v>1569</v>
      </c>
      <c r="BD127" s="91" t="s">
        <v>1569</v>
      </c>
      <c r="BE127" s="91" t="s">
        <v>1569</v>
      </c>
      <c r="BF127" s="91" t="s">
        <v>1569</v>
      </c>
      <c r="BG127" s="91" t="s">
        <v>1569</v>
      </c>
      <c r="BH127" s="91" t="s">
        <v>1569</v>
      </c>
      <c r="BI127" s="91" t="s">
        <v>1569</v>
      </c>
      <c r="BJ127" s="91" t="s">
        <v>1569</v>
      </c>
      <c r="BK127" s="91" t="s">
        <v>1569</v>
      </c>
      <c r="BL127" s="102"/>
    </row>
    <row r="128" spans="2:64" ht="15" customHeight="1" x14ac:dyDescent="0.15">
      <c r="B128" s="121"/>
      <c r="C128" s="132" t="str">
        <f>VLOOKUP(BB128,trad_termini,ID_lingua,FALSE)</f>
        <v>Qty</v>
      </c>
      <c r="D128" s="188" t="str">
        <f>VLOOKUP(BC128,trad_termini,ID_lingua,FALSE)</f>
        <v>Drawing</v>
      </c>
      <c r="E128" s="188"/>
      <c r="F128" s="132" t="str">
        <f>VLOOKUP(BE128,trad_termini,ID_lingua,FALSE)</f>
        <v>Type</v>
      </c>
      <c r="G128" s="188" t="str">
        <f>VLOOKUP(BF128,trad_termini,ID_lingua,FALSE)</f>
        <v>Counterplate</v>
      </c>
      <c r="H128" s="188"/>
      <c r="I128" s="188"/>
      <c r="N128" s="117"/>
      <c r="P128" s="118"/>
      <c r="Q128" s="118"/>
      <c r="R128" s="118"/>
      <c r="S128" s="119"/>
      <c r="Y128" s="91" t="s">
        <v>1652</v>
      </c>
      <c r="Z128" s="91" t="s">
        <v>1653</v>
      </c>
      <c r="AA128" s="91" t="s">
        <v>1654</v>
      </c>
      <c r="AB128" s="91" t="s">
        <v>1655</v>
      </c>
      <c r="AC128" s="91" t="s">
        <v>1589</v>
      </c>
      <c r="AD128" s="91" t="s">
        <v>1656</v>
      </c>
      <c r="AE128" s="24" t="s">
        <v>1660</v>
      </c>
      <c r="AF128" s="24" t="s">
        <v>1657</v>
      </c>
      <c r="AZ128" s="102">
        <v>128</v>
      </c>
      <c r="BA128" s="91" t="s">
        <v>1569</v>
      </c>
      <c r="BB128" s="91">
        <v>128</v>
      </c>
      <c r="BC128" s="91">
        <v>57</v>
      </c>
      <c r="BD128" s="91" t="s">
        <v>1569</v>
      </c>
      <c r="BE128" s="91">
        <v>168</v>
      </c>
      <c r="BF128" s="91">
        <v>36</v>
      </c>
      <c r="BG128" s="91" t="s">
        <v>1569</v>
      </c>
      <c r="BH128" s="91" t="s">
        <v>1569</v>
      </c>
      <c r="BI128" s="91" t="s">
        <v>1569</v>
      </c>
      <c r="BJ128" s="91" t="s">
        <v>1569</v>
      </c>
      <c r="BK128" s="91" t="s">
        <v>1569</v>
      </c>
      <c r="BL128" s="102"/>
    </row>
    <row r="129" spans="2:64" ht="15" customHeight="1" x14ac:dyDescent="0.15">
      <c r="C129" s="75">
        <v>14</v>
      </c>
      <c r="D129" s="184" t="s">
        <v>2089</v>
      </c>
      <c r="E129" s="185"/>
      <c r="F129" s="76" t="s">
        <v>2090</v>
      </c>
      <c r="G129" s="199" t="s">
        <v>40</v>
      </c>
      <c r="H129" s="200"/>
      <c r="I129" s="201"/>
      <c r="N129" s="117"/>
      <c r="P129" s="118"/>
      <c r="Q129" s="118"/>
      <c r="R129" s="118"/>
      <c r="S129" s="119"/>
      <c r="Y129" s="91"/>
      <c r="Z129" s="91"/>
      <c r="AA129" s="91"/>
      <c r="AB129" s="91"/>
      <c r="AC129" s="91"/>
      <c r="AD129" s="91"/>
      <c r="AZ129" s="102">
        <v>129</v>
      </c>
      <c r="BA129" s="91" t="s">
        <v>1569</v>
      </c>
      <c r="BB129" s="91" t="s">
        <v>1569</v>
      </c>
      <c r="BC129" s="91" t="s">
        <v>1569</v>
      </c>
      <c r="BD129" s="91" t="s">
        <v>1569</v>
      </c>
      <c r="BE129" s="91" t="s">
        <v>1569</v>
      </c>
      <c r="BF129" s="91" t="s">
        <v>1569</v>
      </c>
      <c r="BG129" s="91" t="s">
        <v>1569</v>
      </c>
      <c r="BH129" s="91" t="s">
        <v>1569</v>
      </c>
      <c r="BI129" s="91" t="s">
        <v>1569</v>
      </c>
      <c r="BJ129" s="91" t="s">
        <v>1569</v>
      </c>
      <c r="BK129" s="91" t="s">
        <v>1569</v>
      </c>
      <c r="BL129" s="102"/>
    </row>
    <row r="130" spans="2:64" ht="15" customHeight="1" x14ac:dyDescent="0.15">
      <c r="C130" s="75"/>
      <c r="D130" s="184"/>
      <c r="E130" s="185"/>
      <c r="F130" s="76"/>
      <c r="G130" s="199" t="s">
        <v>40</v>
      </c>
      <c r="H130" s="200"/>
      <c r="I130" s="201"/>
      <c r="N130" s="117"/>
      <c r="P130" s="118"/>
      <c r="Q130" s="118"/>
      <c r="R130" s="118"/>
      <c r="S130" s="119"/>
      <c r="Y130" s="91"/>
      <c r="Z130" s="91"/>
      <c r="AA130" s="91"/>
      <c r="AB130" s="91"/>
      <c r="AC130" s="91"/>
      <c r="AD130" s="91"/>
      <c r="AZ130" s="102">
        <v>130</v>
      </c>
      <c r="BA130" s="91" t="s">
        <v>1569</v>
      </c>
      <c r="BB130" s="91" t="s">
        <v>1569</v>
      </c>
      <c r="BC130" s="91" t="s">
        <v>1569</v>
      </c>
      <c r="BD130" s="91" t="s">
        <v>1569</v>
      </c>
      <c r="BE130" s="91" t="s">
        <v>1569</v>
      </c>
      <c r="BF130" s="91" t="s">
        <v>1569</v>
      </c>
      <c r="BG130" s="91" t="s">
        <v>1569</v>
      </c>
      <c r="BH130" s="91" t="s">
        <v>1569</v>
      </c>
      <c r="BI130" s="91" t="s">
        <v>1569</v>
      </c>
      <c r="BJ130" s="91" t="s">
        <v>1569</v>
      </c>
      <c r="BK130" s="91" t="s">
        <v>1569</v>
      </c>
      <c r="BL130" s="102"/>
    </row>
    <row r="131" spans="2:64" ht="15" customHeight="1" x14ac:dyDescent="0.15">
      <c r="C131" s="91"/>
      <c r="D131" s="91"/>
      <c r="E131" s="152"/>
      <c r="F131" s="91"/>
      <c r="G131" s="91"/>
      <c r="H131" s="91"/>
      <c r="I131" s="91"/>
      <c r="J131" s="91"/>
      <c r="K131" s="91"/>
      <c r="L131" s="91"/>
      <c r="N131" s="117"/>
      <c r="P131" s="118"/>
      <c r="Q131" s="118"/>
      <c r="R131" s="118"/>
      <c r="S131" s="119"/>
      <c r="Y131" s="91"/>
      <c r="Z131" s="91"/>
      <c r="AA131" s="91"/>
      <c r="AB131" s="91"/>
      <c r="AC131" s="91"/>
      <c r="AD131" s="91"/>
      <c r="AZ131" s="102">
        <v>131</v>
      </c>
      <c r="BA131" s="91" t="s">
        <v>1569</v>
      </c>
      <c r="BB131" s="91" t="s">
        <v>1569</v>
      </c>
      <c r="BC131" s="91" t="s">
        <v>1569</v>
      </c>
      <c r="BD131" s="91" t="s">
        <v>1569</v>
      </c>
      <c r="BE131" s="91" t="s">
        <v>1569</v>
      </c>
      <c r="BF131" s="91" t="s">
        <v>1569</v>
      </c>
      <c r="BG131" s="91" t="s">
        <v>1569</v>
      </c>
      <c r="BH131" s="91" t="s">
        <v>1569</v>
      </c>
      <c r="BI131" s="91" t="s">
        <v>1569</v>
      </c>
      <c r="BJ131" s="91" t="s">
        <v>1569</v>
      </c>
      <c r="BK131" s="91" t="s">
        <v>1569</v>
      </c>
      <c r="BL131" s="102"/>
    </row>
    <row r="132" spans="2:64" ht="15" customHeight="1" x14ac:dyDescent="0.15">
      <c r="B132" s="142" t="str">
        <f>VLOOKUP(BA132,trad_termini,ID_lingua,FALSE)</f>
        <v>Connection of Sections</v>
      </c>
      <c r="C132" s="91"/>
      <c r="D132" s="91"/>
      <c r="E132" s="152"/>
      <c r="F132" s="91"/>
      <c r="G132" s="91"/>
      <c r="H132" s="91"/>
      <c r="I132" s="91"/>
      <c r="J132" s="91"/>
      <c r="K132" s="91"/>
      <c r="L132" s="91"/>
      <c r="N132" s="117"/>
      <c r="P132" s="118"/>
      <c r="Q132" s="118"/>
      <c r="R132" s="118"/>
      <c r="S132" s="119"/>
      <c r="Y132" s="91" t="s">
        <v>1270</v>
      </c>
      <c r="Z132" s="91" t="s">
        <v>278</v>
      </c>
      <c r="AA132" s="183" t="s">
        <v>1298</v>
      </c>
      <c r="AB132" s="183"/>
      <c r="AC132" s="91"/>
      <c r="AD132" s="91"/>
      <c r="AZ132" s="102">
        <v>132</v>
      </c>
      <c r="BA132" s="91">
        <v>77</v>
      </c>
      <c r="BB132" s="91" t="s">
        <v>1569</v>
      </c>
      <c r="BC132" s="91" t="s">
        <v>1569</v>
      </c>
      <c r="BD132" s="91" t="s">
        <v>1569</v>
      </c>
      <c r="BE132" s="91" t="s">
        <v>1569</v>
      </c>
      <c r="BF132" s="91" t="s">
        <v>1569</v>
      </c>
      <c r="BG132" s="91" t="s">
        <v>1569</v>
      </c>
      <c r="BH132" s="91" t="s">
        <v>1569</v>
      </c>
      <c r="BI132" s="91" t="s">
        <v>1569</v>
      </c>
      <c r="BJ132" s="91" t="s">
        <v>1569</v>
      </c>
      <c r="BK132" s="91" t="s">
        <v>1569</v>
      </c>
      <c r="BL132" s="102"/>
    </row>
    <row r="133" spans="2:64" ht="15" customHeight="1" x14ac:dyDescent="0.15">
      <c r="B133" s="166" t="str">
        <f>VLOOKUP(BA133,trad_termini,ID_lingua,FALSE)</f>
        <v>Bolts</v>
      </c>
      <c r="C133" s="91"/>
      <c r="D133" s="91"/>
      <c r="E133" s="152"/>
      <c r="F133" s="91"/>
      <c r="G133" s="91"/>
      <c r="H133" s="91"/>
      <c r="I133" s="91"/>
      <c r="J133" s="91"/>
      <c r="K133" s="91"/>
      <c r="L133" s="91"/>
      <c r="N133" s="117"/>
      <c r="P133" s="118"/>
      <c r="Q133" s="118"/>
      <c r="R133" s="118"/>
      <c r="S133" s="119"/>
      <c r="Y133" s="76">
        <f>(SUM(C101:C113)+C117+C118+1)</f>
        <v>17</v>
      </c>
      <c r="Z133" s="76" t="str">
        <f>IF(mat_riv="HD1000","PE","STD")</f>
        <v>STD</v>
      </c>
      <c r="AA133" s="184" t="str">
        <f>VLOOKUP(mod_base,macchina_dati,16,FALSE)</f>
        <v>bul_24_40STD</v>
      </c>
      <c r="AB133" s="185"/>
      <c r="AC133" s="91"/>
      <c r="AD133" s="91"/>
      <c r="AZ133" s="102">
        <v>133</v>
      </c>
      <c r="BA133" s="91">
        <v>15</v>
      </c>
      <c r="BB133" s="91" t="s">
        <v>1569</v>
      </c>
      <c r="BC133" s="91" t="s">
        <v>1569</v>
      </c>
      <c r="BD133" s="91" t="s">
        <v>1569</v>
      </c>
      <c r="BE133" s="91" t="s">
        <v>1569</v>
      </c>
      <c r="BF133" s="91" t="s">
        <v>1569</v>
      </c>
      <c r="BG133" s="91" t="s">
        <v>1569</v>
      </c>
      <c r="BH133" s="91" t="s">
        <v>1569</v>
      </c>
      <c r="BI133" s="91" t="s">
        <v>1569</v>
      </c>
      <c r="BJ133" s="91" t="s">
        <v>1569</v>
      </c>
      <c r="BK133" s="91" t="s">
        <v>1569</v>
      </c>
      <c r="BL133" s="102"/>
    </row>
    <row r="134" spans="2:64" ht="15" customHeight="1" x14ac:dyDescent="0.15">
      <c r="C134" s="132" t="str">
        <f>VLOOKUP(BB134,trad_termini,ID_lingua,FALSE)</f>
        <v>Qty</v>
      </c>
      <c r="D134" s="188" t="str">
        <f>VLOOKUP(BC134,trad_termini,ID_lingua,FALSE)</f>
        <v>Item</v>
      </c>
      <c r="E134" s="188"/>
      <c r="F134" s="188" t="str">
        <f>VLOOKUP(BE134,trad_termini,ID_lingua,FALSE)</f>
        <v>Standard Item</v>
      </c>
      <c r="G134" s="188"/>
      <c r="H134" s="188"/>
      <c r="I134" s="91"/>
      <c r="J134" s="91"/>
      <c r="K134" s="91"/>
      <c r="L134" s="91"/>
      <c r="N134" s="117"/>
      <c r="P134" s="118"/>
      <c r="Q134" s="118"/>
      <c r="R134" s="118"/>
      <c r="S134" s="119"/>
      <c r="Y134" s="91"/>
      <c r="Z134" s="91"/>
      <c r="AA134" s="91"/>
      <c r="AB134" s="91"/>
      <c r="AC134" s="91"/>
      <c r="AD134" s="91"/>
      <c r="AZ134" s="102">
        <v>134</v>
      </c>
      <c r="BA134" s="91" t="s">
        <v>1569</v>
      </c>
      <c r="BB134" s="91">
        <v>128</v>
      </c>
      <c r="BC134" s="91">
        <v>9</v>
      </c>
      <c r="BD134" s="91" t="s">
        <v>1569</v>
      </c>
      <c r="BE134" s="91">
        <v>54</v>
      </c>
      <c r="BF134" s="91" t="s">
        <v>1569</v>
      </c>
      <c r="BG134" s="91" t="s">
        <v>1569</v>
      </c>
      <c r="BH134" s="91" t="s">
        <v>1569</v>
      </c>
      <c r="BI134" s="91" t="s">
        <v>1569</v>
      </c>
      <c r="BJ134" s="91" t="s">
        <v>1569</v>
      </c>
      <c r="BK134" s="91" t="s">
        <v>1569</v>
      </c>
      <c r="BL134" s="102"/>
    </row>
    <row r="135" spans="2:64" ht="15" customHeight="1" x14ac:dyDescent="0.15">
      <c r="C135" s="76">
        <f t="shared" ref="C135:C144" ca="1" si="8">IFERROR(VLOOKUP(F135,INDIRECT(bul_elenco),2,FALSE),0)</f>
        <v>221</v>
      </c>
      <c r="D135" s="189" t="str">
        <f ca="1">IF(C135&gt;0,VLOOKUP(BC135,trad_termini,ID_lingua,FALSE),"-")</f>
        <v>Screw</v>
      </c>
      <c r="E135" s="189"/>
      <c r="F135" s="184" t="s">
        <v>1286</v>
      </c>
      <c r="G135" s="193"/>
      <c r="H135" s="185"/>
      <c r="I135" s="91"/>
      <c r="J135" s="91"/>
      <c r="K135" s="91"/>
      <c r="L135" s="91"/>
      <c r="N135" s="117"/>
      <c r="P135" s="118"/>
      <c r="Q135" s="118"/>
      <c r="R135" s="118"/>
      <c r="S135" s="119"/>
      <c r="Y135" s="91"/>
      <c r="Z135" s="91"/>
      <c r="AB135" s="91"/>
      <c r="AC135" s="91"/>
      <c r="AD135" s="91"/>
      <c r="AZ135" s="102">
        <v>135</v>
      </c>
      <c r="BA135" s="91" t="s">
        <v>1569</v>
      </c>
      <c r="BB135" s="91" t="s">
        <v>1569</v>
      </c>
      <c r="BC135" s="91">
        <v>178</v>
      </c>
      <c r="BD135" s="91" t="s">
        <v>1569</v>
      </c>
      <c r="BE135" s="91" t="s">
        <v>1569</v>
      </c>
      <c r="BF135" s="91" t="s">
        <v>1569</v>
      </c>
      <c r="BG135" s="91" t="s">
        <v>1569</v>
      </c>
      <c r="BH135" s="91" t="s">
        <v>1569</v>
      </c>
      <c r="BI135" s="91" t="s">
        <v>1569</v>
      </c>
      <c r="BJ135" s="91" t="s">
        <v>1569</v>
      </c>
      <c r="BK135" s="91" t="s">
        <v>1569</v>
      </c>
      <c r="BL135" s="102"/>
    </row>
    <row r="136" spans="2:64" ht="15" customHeight="1" x14ac:dyDescent="0.15">
      <c r="C136" s="76">
        <f t="shared" ca="1" si="8"/>
        <v>0</v>
      </c>
      <c r="D136" s="189" t="str">
        <f ca="1">IF(C136&gt;0,"vite","-")</f>
        <v>-</v>
      </c>
      <c r="E136" s="189"/>
      <c r="F136" s="184" t="s">
        <v>1293</v>
      </c>
      <c r="G136" s="193"/>
      <c r="H136" s="185"/>
      <c r="I136" s="91"/>
      <c r="J136" s="91"/>
      <c r="K136" s="91"/>
      <c r="L136" s="91"/>
      <c r="N136" s="117"/>
      <c r="P136" s="118"/>
      <c r="Q136" s="118"/>
      <c r="R136" s="118"/>
      <c r="S136" s="119"/>
      <c r="Y136" s="91"/>
      <c r="Z136" s="91"/>
      <c r="AB136" s="91"/>
      <c r="AC136" s="91"/>
      <c r="AD136" s="91"/>
      <c r="AZ136" s="102">
        <v>136</v>
      </c>
      <c r="BA136" s="91" t="s">
        <v>1569</v>
      </c>
      <c r="BB136" s="91" t="s">
        <v>1569</v>
      </c>
      <c r="BC136" s="91">
        <v>178</v>
      </c>
      <c r="BD136" s="91" t="s">
        <v>1569</v>
      </c>
      <c r="BE136" s="91" t="s">
        <v>1569</v>
      </c>
      <c r="BF136" s="91" t="s">
        <v>1569</v>
      </c>
      <c r="BG136" s="91" t="s">
        <v>1569</v>
      </c>
      <c r="BH136" s="91" t="s">
        <v>1569</v>
      </c>
      <c r="BI136" s="91" t="s">
        <v>1569</v>
      </c>
      <c r="BJ136" s="91" t="s">
        <v>1569</v>
      </c>
      <c r="BK136" s="91" t="s">
        <v>1569</v>
      </c>
      <c r="BL136" s="102"/>
    </row>
    <row r="137" spans="2:64" ht="15" customHeight="1" x14ac:dyDescent="0.15">
      <c r="C137" s="76">
        <f t="shared" ca="1" si="8"/>
        <v>272</v>
      </c>
      <c r="D137" s="189" t="str">
        <f ca="1">IF(C137&gt;0,VLOOKUP(BC137,trad_termini,ID_lingua,FALSE),"-")</f>
        <v>Screw</v>
      </c>
      <c r="E137" s="189"/>
      <c r="F137" s="184" t="s">
        <v>1285</v>
      </c>
      <c r="G137" s="193"/>
      <c r="H137" s="185"/>
      <c r="I137" s="91"/>
      <c r="J137" s="91"/>
      <c r="K137" s="91"/>
      <c r="L137" s="91"/>
      <c r="N137" s="117"/>
      <c r="P137" s="118"/>
      <c r="Q137" s="118"/>
      <c r="R137" s="118"/>
      <c r="S137" s="119"/>
      <c r="Y137" s="91"/>
      <c r="Z137" s="91"/>
      <c r="AB137" s="91"/>
      <c r="AC137" s="91"/>
      <c r="AD137" s="91"/>
      <c r="AZ137" s="102">
        <v>137</v>
      </c>
      <c r="BA137" s="91" t="s">
        <v>1569</v>
      </c>
      <c r="BB137" s="91" t="s">
        <v>1569</v>
      </c>
      <c r="BC137" s="91">
        <v>178</v>
      </c>
      <c r="BD137" s="91" t="s">
        <v>1569</v>
      </c>
      <c r="BE137" s="91" t="s">
        <v>1569</v>
      </c>
      <c r="BF137" s="91" t="s">
        <v>1569</v>
      </c>
      <c r="BG137" s="91" t="s">
        <v>1569</v>
      </c>
      <c r="BH137" s="91" t="s">
        <v>1569</v>
      </c>
      <c r="BI137" s="91" t="s">
        <v>1569</v>
      </c>
      <c r="BJ137" s="91" t="s">
        <v>1569</v>
      </c>
      <c r="BK137" s="91" t="s">
        <v>1569</v>
      </c>
      <c r="BL137" s="102"/>
    </row>
    <row r="138" spans="2:64" ht="15" customHeight="1" x14ac:dyDescent="0.15">
      <c r="C138" s="76">
        <f t="shared" ca="1" si="8"/>
        <v>0</v>
      </c>
      <c r="D138" s="189" t="str">
        <f ca="1">IF(C138&gt;0,"vite","-")</f>
        <v>-</v>
      </c>
      <c r="E138" s="189"/>
      <c r="F138" s="184" t="s">
        <v>1287</v>
      </c>
      <c r="G138" s="193"/>
      <c r="H138" s="185"/>
      <c r="I138" s="91"/>
      <c r="J138" s="91"/>
      <c r="K138" s="91"/>
      <c r="L138" s="91"/>
      <c r="N138" s="117"/>
      <c r="P138" s="118"/>
      <c r="Q138" s="118"/>
      <c r="R138" s="118"/>
      <c r="S138" s="119"/>
      <c r="Y138" s="91"/>
      <c r="Z138" s="91"/>
      <c r="AB138" s="91"/>
      <c r="AC138" s="91"/>
      <c r="AD138" s="91"/>
      <c r="AZ138" s="102">
        <v>138</v>
      </c>
      <c r="BA138" s="91" t="s">
        <v>1569</v>
      </c>
      <c r="BB138" s="91" t="s">
        <v>1569</v>
      </c>
      <c r="BC138" s="91">
        <v>178</v>
      </c>
      <c r="BD138" s="91" t="s">
        <v>1569</v>
      </c>
      <c r="BE138" s="91" t="s">
        <v>1569</v>
      </c>
      <c r="BF138" s="91" t="s">
        <v>1569</v>
      </c>
      <c r="BG138" s="91" t="s">
        <v>1569</v>
      </c>
      <c r="BH138" s="91" t="s">
        <v>1569</v>
      </c>
      <c r="BI138" s="91" t="s">
        <v>1569</v>
      </c>
      <c r="BJ138" s="91" t="s">
        <v>1569</v>
      </c>
      <c r="BK138" s="91" t="s">
        <v>1569</v>
      </c>
      <c r="BL138" s="102"/>
    </row>
    <row r="139" spans="2:64" ht="15" customHeight="1" x14ac:dyDescent="0.15">
      <c r="C139" s="76">
        <f t="shared" ca="1" si="8"/>
        <v>68</v>
      </c>
      <c r="D139" s="189" t="str">
        <f t="shared" ref="D139:D144" ca="1" si="9">IF(C139&gt;0,VLOOKUP(BC139,trad_termini,ID_lingua,FALSE),"-")</f>
        <v>Plain Washer</v>
      </c>
      <c r="E139" s="189"/>
      <c r="F139" s="184" t="s">
        <v>1289</v>
      </c>
      <c r="G139" s="193"/>
      <c r="H139" s="185"/>
      <c r="I139" s="91"/>
      <c r="J139" s="91"/>
      <c r="K139" s="91"/>
      <c r="L139" s="91"/>
      <c r="N139" s="117"/>
      <c r="P139" s="118"/>
      <c r="Q139" s="118"/>
      <c r="R139" s="118"/>
      <c r="S139" s="119"/>
      <c r="Y139" s="91"/>
      <c r="Z139" s="91"/>
      <c r="AB139" s="91"/>
      <c r="AC139" s="91"/>
      <c r="AD139" s="91"/>
      <c r="AZ139" s="102">
        <v>139</v>
      </c>
      <c r="BA139" s="91" t="s">
        <v>1569</v>
      </c>
      <c r="BB139" s="91" t="s">
        <v>1569</v>
      </c>
      <c r="BC139" s="91">
        <v>143</v>
      </c>
      <c r="BD139" s="91" t="s">
        <v>1569</v>
      </c>
      <c r="BE139" s="91" t="s">
        <v>1569</v>
      </c>
      <c r="BF139" s="91" t="s">
        <v>1569</v>
      </c>
      <c r="BG139" s="91" t="s">
        <v>1569</v>
      </c>
      <c r="BH139" s="91" t="s">
        <v>1569</v>
      </c>
      <c r="BI139" s="91" t="s">
        <v>1569</v>
      </c>
      <c r="BJ139" s="91" t="s">
        <v>1569</v>
      </c>
      <c r="BK139" s="91" t="s">
        <v>1569</v>
      </c>
      <c r="BL139" s="102"/>
    </row>
    <row r="140" spans="2:64" ht="15" customHeight="1" x14ac:dyDescent="0.15">
      <c r="C140" s="76">
        <f t="shared" ca="1" si="8"/>
        <v>544</v>
      </c>
      <c r="D140" s="189" t="str">
        <f t="shared" ca="1" si="9"/>
        <v>Plain Washer</v>
      </c>
      <c r="E140" s="189"/>
      <c r="F140" s="184" t="s">
        <v>578</v>
      </c>
      <c r="G140" s="193"/>
      <c r="H140" s="185"/>
      <c r="I140" s="91"/>
      <c r="J140" s="91"/>
      <c r="K140" s="91"/>
      <c r="L140" s="91"/>
      <c r="N140" s="117"/>
      <c r="P140" s="118"/>
      <c r="Q140" s="118"/>
      <c r="R140" s="118"/>
      <c r="S140" s="119"/>
      <c r="Y140" s="91"/>
      <c r="Z140" s="91"/>
      <c r="AB140" s="91"/>
      <c r="AC140" s="91"/>
      <c r="AD140" s="91"/>
      <c r="AZ140" s="102">
        <v>140</v>
      </c>
      <c r="BA140" s="91" t="s">
        <v>1569</v>
      </c>
      <c r="BB140" s="91" t="s">
        <v>1569</v>
      </c>
      <c r="BC140" s="91">
        <v>143</v>
      </c>
      <c r="BD140" s="91" t="s">
        <v>1569</v>
      </c>
      <c r="BE140" s="91" t="s">
        <v>1569</v>
      </c>
      <c r="BF140" s="91" t="s">
        <v>1569</v>
      </c>
      <c r="BG140" s="91" t="s">
        <v>1569</v>
      </c>
      <c r="BH140" s="91" t="s">
        <v>1569</v>
      </c>
      <c r="BI140" s="91" t="s">
        <v>1569</v>
      </c>
      <c r="BJ140" s="91" t="s">
        <v>1569</v>
      </c>
      <c r="BK140" s="91" t="s">
        <v>1569</v>
      </c>
      <c r="BL140" s="102"/>
    </row>
    <row r="141" spans="2:64" ht="15" customHeight="1" x14ac:dyDescent="0.15">
      <c r="C141" s="76">
        <f t="shared" ca="1" si="8"/>
        <v>374</v>
      </c>
      <c r="D141" s="189" t="str">
        <f t="shared" ca="1" si="9"/>
        <v>Plain Washer</v>
      </c>
      <c r="E141" s="189"/>
      <c r="F141" s="184" t="s">
        <v>1288</v>
      </c>
      <c r="G141" s="193"/>
      <c r="H141" s="185"/>
      <c r="I141" s="91"/>
      <c r="J141" s="91"/>
      <c r="K141" s="91"/>
      <c r="L141" s="91"/>
      <c r="N141" s="117"/>
      <c r="P141" s="118"/>
      <c r="Q141" s="118"/>
      <c r="R141" s="118"/>
      <c r="S141" s="119"/>
      <c r="Y141" s="91"/>
      <c r="Z141" s="91"/>
      <c r="AB141" s="91"/>
      <c r="AC141" s="91"/>
      <c r="AD141" s="91"/>
      <c r="AZ141" s="102">
        <v>141</v>
      </c>
      <c r="BA141" s="91" t="s">
        <v>1569</v>
      </c>
      <c r="BB141" s="91" t="s">
        <v>1569</v>
      </c>
      <c r="BC141" s="91">
        <v>143</v>
      </c>
      <c r="BD141" s="91" t="s">
        <v>1569</v>
      </c>
      <c r="BE141" s="91" t="s">
        <v>1569</v>
      </c>
      <c r="BF141" s="91" t="s">
        <v>1569</v>
      </c>
      <c r="BG141" s="91" t="s">
        <v>1569</v>
      </c>
      <c r="BH141" s="91" t="s">
        <v>1569</v>
      </c>
      <c r="BI141" s="91" t="s">
        <v>1569</v>
      </c>
      <c r="BJ141" s="91" t="s">
        <v>1569</v>
      </c>
      <c r="BK141" s="91" t="s">
        <v>1569</v>
      </c>
      <c r="BL141" s="102"/>
    </row>
    <row r="142" spans="2:64" ht="15" customHeight="1" x14ac:dyDescent="0.15">
      <c r="C142" s="76">
        <f t="shared" ca="1" si="8"/>
        <v>221</v>
      </c>
      <c r="D142" s="189" t="str">
        <f t="shared" ca="1" si="9"/>
        <v>Nut</v>
      </c>
      <c r="E142" s="189"/>
      <c r="F142" s="184" t="s">
        <v>1290</v>
      </c>
      <c r="G142" s="193"/>
      <c r="H142" s="185"/>
      <c r="I142" s="91"/>
      <c r="J142" s="91"/>
      <c r="K142" s="91"/>
      <c r="L142" s="91"/>
      <c r="N142" s="117"/>
      <c r="P142" s="118"/>
      <c r="Q142" s="118"/>
      <c r="R142" s="118"/>
      <c r="S142" s="119"/>
      <c r="Y142" s="91"/>
      <c r="Z142" s="91"/>
      <c r="AB142" s="91"/>
      <c r="AC142" s="91"/>
      <c r="AD142" s="91"/>
      <c r="AZ142" s="102">
        <v>142</v>
      </c>
      <c r="BA142" s="91" t="s">
        <v>1569</v>
      </c>
      <c r="BB142" s="91" t="s">
        <v>1569</v>
      </c>
      <c r="BC142" s="91">
        <v>46</v>
      </c>
      <c r="BD142" s="91" t="s">
        <v>1569</v>
      </c>
      <c r="BE142" s="91" t="s">
        <v>1569</v>
      </c>
      <c r="BF142" s="91" t="s">
        <v>1569</v>
      </c>
      <c r="BG142" s="91" t="s">
        <v>1569</v>
      </c>
      <c r="BH142" s="91" t="s">
        <v>1569</v>
      </c>
      <c r="BI142" s="91" t="s">
        <v>1569</v>
      </c>
      <c r="BJ142" s="91" t="s">
        <v>1569</v>
      </c>
      <c r="BK142" s="91" t="s">
        <v>1569</v>
      </c>
      <c r="BL142" s="102"/>
    </row>
    <row r="143" spans="2:64" ht="15" customHeight="1" x14ac:dyDescent="0.15">
      <c r="C143" s="76">
        <f t="shared" ca="1" si="8"/>
        <v>272</v>
      </c>
      <c r="D143" s="189" t="str">
        <f t="shared" ca="1" si="9"/>
        <v>Nut</v>
      </c>
      <c r="E143" s="189"/>
      <c r="F143" s="184" t="s">
        <v>1291</v>
      </c>
      <c r="G143" s="193"/>
      <c r="H143" s="185"/>
      <c r="I143" s="91"/>
      <c r="J143" s="91"/>
      <c r="K143" s="91"/>
      <c r="L143" s="91"/>
      <c r="N143" s="117"/>
      <c r="P143" s="118"/>
      <c r="Q143" s="118"/>
      <c r="R143" s="118"/>
      <c r="S143" s="119"/>
      <c r="Y143" s="91"/>
      <c r="Z143" s="91"/>
      <c r="AB143" s="91"/>
      <c r="AC143" s="91"/>
      <c r="AD143" s="91"/>
      <c r="AZ143" s="102">
        <v>143</v>
      </c>
      <c r="BA143" s="91" t="s">
        <v>1569</v>
      </c>
      <c r="BB143" s="91" t="s">
        <v>1569</v>
      </c>
      <c r="BC143" s="91">
        <v>46</v>
      </c>
      <c r="BD143" s="91" t="s">
        <v>1569</v>
      </c>
      <c r="BE143" s="91" t="s">
        <v>1569</v>
      </c>
      <c r="BF143" s="91" t="s">
        <v>1569</v>
      </c>
      <c r="BG143" s="91" t="s">
        <v>1569</v>
      </c>
      <c r="BH143" s="91" t="s">
        <v>1569</v>
      </c>
      <c r="BI143" s="91" t="s">
        <v>1569</v>
      </c>
      <c r="BJ143" s="91" t="s">
        <v>1569</v>
      </c>
      <c r="BK143" s="91" t="s">
        <v>1569</v>
      </c>
      <c r="BL143" s="102"/>
    </row>
    <row r="144" spans="2:64" ht="15" customHeight="1" x14ac:dyDescent="0.15">
      <c r="C144" s="76">
        <f t="shared" ca="1" si="8"/>
        <v>0</v>
      </c>
      <c r="D144" s="189" t="str">
        <f t="shared" ca="1" si="9"/>
        <v>-</v>
      </c>
      <c r="E144" s="189"/>
      <c r="F144" s="184" t="s">
        <v>1292</v>
      </c>
      <c r="G144" s="193"/>
      <c r="H144" s="185"/>
      <c r="I144" s="91"/>
      <c r="J144" s="91"/>
      <c r="K144" s="91"/>
      <c r="L144" s="91"/>
      <c r="N144" s="117"/>
      <c r="P144" s="118"/>
      <c r="Q144" s="118"/>
      <c r="R144" s="118"/>
      <c r="S144" s="119"/>
      <c r="Y144" s="91"/>
      <c r="Z144" s="91"/>
      <c r="AA144" s="91"/>
      <c r="AB144" s="91"/>
      <c r="AC144" s="91"/>
      <c r="AD144" s="91"/>
      <c r="AZ144" s="102">
        <v>144</v>
      </c>
      <c r="BA144" s="91" t="s">
        <v>1569</v>
      </c>
      <c r="BB144" s="91" t="s">
        <v>1569</v>
      </c>
      <c r="BC144" s="91">
        <v>47</v>
      </c>
      <c r="BD144" s="91" t="s">
        <v>1569</v>
      </c>
      <c r="BE144" s="91" t="s">
        <v>1569</v>
      </c>
      <c r="BF144" s="91" t="s">
        <v>1569</v>
      </c>
      <c r="BG144" s="91" t="s">
        <v>1569</v>
      </c>
      <c r="BH144" s="91" t="s">
        <v>1569</v>
      </c>
      <c r="BI144" s="91" t="s">
        <v>1569</v>
      </c>
      <c r="BJ144" s="91" t="s">
        <v>1569</v>
      </c>
      <c r="BK144" s="91" t="s">
        <v>1569</v>
      </c>
      <c r="BL144" s="102"/>
    </row>
    <row r="145" spans="2:64" ht="15" customHeight="1" x14ac:dyDescent="0.15">
      <c r="C145" s="91"/>
      <c r="F145" s="91"/>
      <c r="G145" s="91"/>
      <c r="H145" s="91"/>
      <c r="I145" s="91"/>
      <c r="J145" s="91"/>
      <c r="K145" s="91"/>
      <c r="L145" s="91"/>
      <c r="N145" s="117"/>
      <c r="P145" s="118"/>
      <c r="Q145" s="118"/>
      <c r="R145" s="118"/>
      <c r="S145" s="119"/>
      <c r="Y145" s="91"/>
      <c r="Z145" s="91"/>
      <c r="AA145" s="91"/>
      <c r="AB145" s="91"/>
      <c r="AC145" s="91"/>
      <c r="AD145" s="91"/>
      <c r="AZ145" s="102">
        <v>145</v>
      </c>
      <c r="BA145" s="91" t="s">
        <v>1569</v>
      </c>
      <c r="BB145" s="91" t="s">
        <v>1569</v>
      </c>
      <c r="BC145" s="91" t="s">
        <v>1569</v>
      </c>
      <c r="BD145" s="91" t="s">
        <v>1569</v>
      </c>
      <c r="BE145" s="91" t="s">
        <v>1569</v>
      </c>
      <c r="BF145" s="91" t="s">
        <v>1569</v>
      </c>
      <c r="BG145" s="91" t="s">
        <v>1569</v>
      </c>
      <c r="BH145" s="91" t="s">
        <v>1569</v>
      </c>
      <c r="BI145" s="91" t="s">
        <v>1569</v>
      </c>
      <c r="BJ145" s="91" t="s">
        <v>1569</v>
      </c>
      <c r="BK145" s="91" t="s">
        <v>1569</v>
      </c>
      <c r="BL145" s="102"/>
    </row>
    <row r="146" spans="2:64" ht="15" customHeight="1" x14ac:dyDescent="0.15">
      <c r="B146" s="166" t="str">
        <f>VLOOKUP(BA146,trad_termini,ID_lingua,FALSE)</f>
        <v>Sealant</v>
      </c>
      <c r="C146" s="91"/>
      <c r="F146" s="91"/>
      <c r="G146" s="91"/>
      <c r="H146" s="91"/>
      <c r="I146" s="91"/>
      <c r="J146" s="91"/>
      <c r="K146" s="91"/>
      <c r="L146" s="91"/>
      <c r="N146" s="117"/>
      <c r="P146" s="118"/>
      <c r="Q146" s="118"/>
      <c r="R146" s="118"/>
      <c r="S146" s="119"/>
      <c r="Y146" s="91"/>
      <c r="Z146" s="91"/>
      <c r="AA146" s="91"/>
      <c r="AB146" s="91"/>
      <c r="AC146" s="91"/>
      <c r="AD146" s="91"/>
      <c r="AZ146" s="102">
        <v>146</v>
      </c>
      <c r="BA146" s="91">
        <v>150</v>
      </c>
      <c r="BB146" s="91" t="s">
        <v>1569</v>
      </c>
      <c r="BC146" s="91" t="s">
        <v>1569</v>
      </c>
      <c r="BD146" s="91" t="s">
        <v>1569</v>
      </c>
      <c r="BE146" s="91" t="s">
        <v>1569</v>
      </c>
      <c r="BF146" s="91" t="s">
        <v>1569</v>
      </c>
      <c r="BG146" s="91" t="s">
        <v>1569</v>
      </c>
      <c r="BH146" s="91" t="s">
        <v>1569</v>
      </c>
      <c r="BI146" s="91" t="s">
        <v>1569</v>
      </c>
      <c r="BJ146" s="91" t="s">
        <v>1569</v>
      </c>
      <c r="BK146" s="91" t="s">
        <v>1569</v>
      </c>
      <c r="BL146" s="102"/>
    </row>
    <row r="147" spans="2:64" ht="15" customHeight="1" x14ac:dyDescent="0.15">
      <c r="C147" s="132" t="str">
        <f>VLOOKUP(BB147,trad_termini,ID_lingua,FALSE)</f>
        <v>Qty</v>
      </c>
      <c r="D147" s="188" t="str">
        <f>VLOOKUP(BC147,trad_termini,ID_lingua,FALSE)</f>
        <v>Item</v>
      </c>
      <c r="E147" s="188"/>
      <c r="F147" s="188"/>
      <c r="G147" s="188"/>
      <c r="H147" s="188"/>
      <c r="I147" s="91"/>
      <c r="J147" s="91"/>
      <c r="K147" s="91"/>
      <c r="L147" s="91"/>
      <c r="N147" s="117"/>
      <c r="P147" s="118"/>
      <c r="Q147" s="118"/>
      <c r="R147" s="118"/>
      <c r="S147" s="119"/>
      <c r="Y147" s="91" t="s">
        <v>713</v>
      </c>
      <c r="Z147" s="91" t="s">
        <v>714</v>
      </c>
      <c r="AA147" s="91"/>
      <c r="AB147" s="91"/>
      <c r="AC147" s="91"/>
      <c r="AD147" s="91"/>
      <c r="AZ147" s="102">
        <v>147</v>
      </c>
      <c r="BA147" s="91" t="s">
        <v>1569</v>
      </c>
      <c r="BB147" s="91">
        <v>128</v>
      </c>
      <c r="BC147" s="91">
        <v>9</v>
      </c>
      <c r="BD147" s="91" t="s">
        <v>1569</v>
      </c>
      <c r="BE147" s="91" t="s">
        <v>1569</v>
      </c>
      <c r="BF147" s="91" t="s">
        <v>1569</v>
      </c>
      <c r="BG147" s="91" t="s">
        <v>1569</v>
      </c>
      <c r="BH147" s="91" t="s">
        <v>1569</v>
      </c>
      <c r="BI147" s="91" t="s">
        <v>1569</v>
      </c>
      <c r="BJ147" s="91" t="s">
        <v>1569</v>
      </c>
      <c r="BK147" s="91" t="s">
        <v>1569</v>
      </c>
      <c r="BL147" s="102"/>
    </row>
    <row r="148" spans="2:64" ht="15" customHeight="1" x14ac:dyDescent="0.15">
      <c r="C148" s="76">
        <f>CEILING(Y148/(Z148*1000),1)</f>
        <v>1</v>
      </c>
      <c r="D148" s="189" t="str">
        <f>VLOOKUP(BC148,trad_termini,ID_lingua,FALSE)</f>
        <v>Cartridge(s)</v>
      </c>
      <c r="E148" s="189"/>
      <c r="F148" s="190"/>
      <c r="G148" s="190"/>
      <c r="H148" s="191"/>
      <c r="I148" s="91"/>
      <c r="J148" s="91"/>
      <c r="K148" s="91"/>
      <c r="L148" s="91"/>
      <c r="N148" s="117"/>
      <c r="P148" s="118"/>
      <c r="Q148" s="118"/>
      <c r="R148" s="118"/>
      <c r="S148" s="119"/>
      <c r="Y148" s="76">
        <f>(SUM(C101:C113)+C117+C118+1)*2*VLOOKUP(mod_base,macchina_dati,38,FALSE)</f>
        <v>24140</v>
      </c>
      <c r="Z148" s="76">
        <v>30</v>
      </c>
      <c r="AA148" s="91"/>
      <c r="AB148" s="91"/>
      <c r="AC148" s="91"/>
      <c r="AD148" s="91"/>
      <c r="AZ148" s="102">
        <v>148</v>
      </c>
      <c r="BA148" s="91" t="s">
        <v>1569</v>
      </c>
      <c r="BB148" s="91" t="s">
        <v>1569</v>
      </c>
      <c r="BC148" s="91">
        <v>17</v>
      </c>
      <c r="BD148" s="91" t="s">
        <v>1569</v>
      </c>
      <c r="BE148" s="91" t="s">
        <v>1569</v>
      </c>
      <c r="BF148" s="91" t="s">
        <v>1569</v>
      </c>
      <c r="BG148" s="91" t="s">
        <v>1569</v>
      </c>
      <c r="BH148" s="91" t="s">
        <v>1569</v>
      </c>
      <c r="BI148" s="91" t="s">
        <v>1569</v>
      </c>
      <c r="BJ148" s="91" t="s">
        <v>1569</v>
      </c>
      <c r="BK148" s="91" t="s">
        <v>1569</v>
      </c>
      <c r="BL148" s="102"/>
    </row>
    <row r="149" spans="2:64" ht="15" customHeight="1" x14ac:dyDescent="0.15">
      <c r="C149" s="91"/>
      <c r="F149" s="91"/>
      <c r="G149" s="91"/>
      <c r="H149" s="91"/>
      <c r="I149" s="91"/>
      <c r="J149" s="91"/>
      <c r="K149" s="91"/>
      <c r="L149" s="91"/>
      <c r="N149" s="117"/>
      <c r="P149" s="118"/>
      <c r="Q149" s="118"/>
      <c r="R149" s="118"/>
      <c r="S149" s="119"/>
      <c r="Y149" s="91"/>
      <c r="Z149" s="91"/>
      <c r="AA149" s="91"/>
      <c r="AB149" s="91"/>
      <c r="AC149" s="91"/>
      <c r="AD149" s="91"/>
      <c r="AZ149" s="102">
        <v>149</v>
      </c>
      <c r="BA149" s="91" t="s">
        <v>1569</v>
      </c>
      <c r="BB149" s="91" t="s">
        <v>1569</v>
      </c>
      <c r="BC149" s="91" t="s">
        <v>1569</v>
      </c>
      <c r="BD149" s="91" t="s">
        <v>1569</v>
      </c>
      <c r="BE149" s="91" t="s">
        <v>1569</v>
      </c>
      <c r="BF149" s="91" t="s">
        <v>1569</v>
      </c>
      <c r="BG149" s="91" t="s">
        <v>1569</v>
      </c>
      <c r="BH149" s="91" t="s">
        <v>1569</v>
      </c>
      <c r="BI149" s="91" t="s">
        <v>1569</v>
      </c>
      <c r="BJ149" s="91" t="s">
        <v>1569</v>
      </c>
      <c r="BK149" s="91" t="s">
        <v>1569</v>
      </c>
      <c r="BL149" s="102"/>
    </row>
    <row r="150" spans="2:64" ht="15" customHeight="1" x14ac:dyDescent="0.15">
      <c r="B150" s="146" t="str">
        <f>VLOOKUP(BA150,trad_termini,ID_lingua,FALSE)</f>
        <v>Conveying Chain</v>
      </c>
      <c r="C150" s="91"/>
      <c r="F150" s="91"/>
      <c r="G150" s="91"/>
      <c r="H150" s="91"/>
      <c r="I150" s="91"/>
      <c r="J150" s="91"/>
      <c r="K150" s="91"/>
      <c r="L150" s="91"/>
      <c r="N150" s="117"/>
      <c r="P150" s="118"/>
      <c r="Q150" s="118"/>
      <c r="R150" s="118"/>
      <c r="S150" s="119"/>
      <c r="Y150" s="91"/>
      <c r="Z150" s="91"/>
      <c r="AA150" s="91"/>
      <c r="AB150" s="91"/>
      <c r="AC150" s="91"/>
      <c r="AD150" s="91"/>
      <c r="AZ150" s="102">
        <v>150</v>
      </c>
      <c r="BA150" s="91">
        <v>19</v>
      </c>
      <c r="BB150" s="91" t="s">
        <v>1569</v>
      </c>
      <c r="BC150" s="91" t="s">
        <v>1569</v>
      </c>
      <c r="BD150" s="91" t="s">
        <v>1569</v>
      </c>
      <c r="BE150" s="91" t="s">
        <v>1569</v>
      </c>
      <c r="BF150" s="91" t="s">
        <v>1569</v>
      </c>
      <c r="BG150" s="91" t="s">
        <v>1569</v>
      </c>
      <c r="BH150" s="91" t="s">
        <v>1569</v>
      </c>
      <c r="BI150" s="91" t="s">
        <v>1569</v>
      </c>
      <c r="BJ150" s="91" t="s">
        <v>1569</v>
      </c>
      <c r="BK150" s="91" t="s">
        <v>1569</v>
      </c>
      <c r="BL150" s="102"/>
    </row>
    <row r="151" spans="2:64" ht="15" customHeight="1" x14ac:dyDescent="0.15">
      <c r="C151" s="91"/>
      <c r="F151" s="91"/>
      <c r="G151" s="91"/>
      <c r="H151" s="91"/>
      <c r="I151" s="91"/>
      <c r="J151" s="91"/>
      <c r="K151" s="91"/>
      <c r="L151" s="91"/>
      <c r="N151" s="117"/>
      <c r="P151" s="118"/>
      <c r="Q151" s="118"/>
      <c r="R151" s="118"/>
      <c r="S151" s="119"/>
      <c r="Y151" s="91"/>
      <c r="Z151" s="91"/>
      <c r="AA151" s="91"/>
      <c r="AB151" s="91"/>
      <c r="AC151" s="91"/>
      <c r="AD151" s="91"/>
      <c r="AZ151" s="102">
        <v>151</v>
      </c>
      <c r="BA151" s="91" t="s">
        <v>1569</v>
      </c>
      <c r="BB151" s="91" t="s">
        <v>1569</v>
      </c>
      <c r="BC151" s="91" t="s">
        <v>1569</v>
      </c>
      <c r="BD151" s="91" t="s">
        <v>1569</v>
      </c>
      <c r="BE151" s="91" t="s">
        <v>1569</v>
      </c>
      <c r="BF151" s="91" t="s">
        <v>1569</v>
      </c>
      <c r="BG151" s="91" t="s">
        <v>1569</v>
      </c>
      <c r="BH151" s="91" t="s">
        <v>1569</v>
      </c>
      <c r="BI151" s="91" t="s">
        <v>1569</v>
      </c>
      <c r="BJ151" s="91" t="s">
        <v>1569</v>
      </c>
      <c r="BK151" s="91" t="s">
        <v>1569</v>
      </c>
      <c r="BL151" s="102"/>
    </row>
    <row r="152" spans="2:64" ht="15" customHeight="1" x14ac:dyDescent="0.15">
      <c r="C152" s="106" t="str">
        <f>VLOOKUP(BB152,trad_termini,ID_lingua,FALSE)</f>
        <v>Qty</v>
      </c>
      <c r="D152" s="188" t="str">
        <f>VLOOKUP(BC152,trad_termini,ID_lingua,FALSE)</f>
        <v>Arrangement</v>
      </c>
      <c r="E152" s="188"/>
      <c r="F152" s="188" t="str">
        <f>VLOOKUP(BE152,trad_termini,ID_lingua,FALSE)</f>
        <v>Chain Link</v>
      </c>
      <c r="G152" s="188"/>
      <c r="H152" s="107" t="str">
        <f>VLOOKUP(BG152,trad_termini,ID_lingua,FALSE)</f>
        <v>Pin</v>
      </c>
      <c r="J152" s="107" t="str">
        <f>VLOOKUP(BI152,trad_termini,ID_lingua,FALSE)</f>
        <v>Excess Length</v>
      </c>
      <c r="K152" s="91"/>
      <c r="L152" s="107" t="str">
        <f>VLOOKUP(BK152,trad_termini,ID_lingua,FALSE)</f>
        <v>Chain Links</v>
      </c>
      <c r="N152" s="117"/>
      <c r="P152" s="119"/>
      <c r="Q152" s="119"/>
      <c r="R152" s="119"/>
      <c r="S152" s="119"/>
      <c r="Y152" s="91"/>
      <c r="Z152" s="91"/>
      <c r="AA152" s="91"/>
      <c r="AB152" s="91"/>
      <c r="AC152" s="91"/>
      <c r="AD152" s="91"/>
      <c r="AZ152" s="102">
        <v>152</v>
      </c>
      <c r="BA152" s="91" t="s">
        <v>1569</v>
      </c>
      <c r="BB152" s="91">
        <v>128</v>
      </c>
      <c r="BC152" s="91">
        <v>6</v>
      </c>
      <c r="BD152" s="91" t="s">
        <v>1569</v>
      </c>
      <c r="BE152" s="91">
        <v>101</v>
      </c>
      <c r="BF152" s="91" t="s">
        <v>1569</v>
      </c>
      <c r="BG152" s="91">
        <v>119</v>
      </c>
      <c r="BH152" s="91" t="s">
        <v>1569</v>
      </c>
      <c r="BI152" s="91">
        <v>98</v>
      </c>
      <c r="BJ152" s="91" t="s">
        <v>1569</v>
      </c>
      <c r="BK152" s="91">
        <v>102</v>
      </c>
      <c r="BL152" s="102"/>
    </row>
    <row r="153" spans="2:64" ht="15" customHeight="1" x14ac:dyDescent="0.15">
      <c r="C153" s="91" t="s">
        <v>293</v>
      </c>
      <c r="D153" s="224" t="str">
        <f>VLOOKUP(BC153,trad_termini,ID_lingua,FALSE)</f>
        <v>Chain Assembly Code</v>
      </c>
      <c r="E153" s="224"/>
      <c r="F153" s="224" t="str">
        <f>VLOOKUP(BE153,trad_termini,ID_lingua,FALSE)</f>
        <v>Type / Material</v>
      </c>
      <c r="G153" s="224"/>
      <c r="H153" s="91" t="str">
        <f>VLOOKUP(BG153,trad_termini,ID_lingua,FALSE)</f>
        <v>Material</v>
      </c>
      <c r="J153" s="91" t="s">
        <v>724</v>
      </c>
      <c r="K153" s="91"/>
      <c r="L153" s="91" t="str">
        <f>VLOOKUP(BK153,trad_termini,ID_lingua,FALSE)</f>
        <v>Qty</v>
      </c>
      <c r="N153" s="117"/>
      <c r="P153" s="119"/>
      <c r="Q153" s="119"/>
      <c r="R153" s="119"/>
      <c r="S153" s="119"/>
      <c r="Y153" s="91" t="s">
        <v>776</v>
      </c>
      <c r="Z153" s="91"/>
      <c r="AA153" s="91"/>
      <c r="AB153" s="91"/>
      <c r="AC153" s="91"/>
      <c r="AD153" s="91"/>
      <c r="AZ153" s="102">
        <v>153</v>
      </c>
      <c r="BA153" s="91" t="s">
        <v>1569</v>
      </c>
      <c r="BB153" s="91" t="s">
        <v>1569</v>
      </c>
      <c r="BC153" s="91">
        <v>23</v>
      </c>
      <c r="BD153" s="91" t="s">
        <v>1569</v>
      </c>
      <c r="BE153" s="91">
        <v>169</v>
      </c>
      <c r="BF153" s="91" t="s">
        <v>1569</v>
      </c>
      <c r="BG153" s="91">
        <v>103</v>
      </c>
      <c r="BH153" s="91" t="s">
        <v>1569</v>
      </c>
      <c r="BI153" s="91" t="s">
        <v>1569</v>
      </c>
      <c r="BJ153" s="91" t="s">
        <v>1569</v>
      </c>
      <c r="BK153" s="91">
        <v>128</v>
      </c>
      <c r="BL153" s="102"/>
    </row>
    <row r="154" spans="2:64" ht="15" customHeight="1" x14ac:dyDescent="0.15">
      <c r="C154" s="137">
        <f>IFERROR(CEILING((Y90+Y92+Y113+Y117+Y118)/1000+J154,0.01),"-")</f>
        <v>81.010000000000005</v>
      </c>
      <c r="D154" s="194" t="str">
        <f>VLOOKUP(mac_cod_sint,esec_dati,10,FALSE)</f>
        <v>CT0048</v>
      </c>
      <c r="E154" s="195"/>
      <c r="F154" s="194" t="str">
        <f>VLOOKUP(mac_cod_sint,esec_dati,11,FALSE)</f>
        <v>14226 MN</v>
      </c>
      <c r="G154" s="195"/>
      <c r="H154" s="75" t="str">
        <f>VLOOKUP(mac_cod_sint,esec_dati,12,FALSE)</f>
        <v>AISI 420</v>
      </c>
      <c r="J154" s="76">
        <v>1</v>
      </c>
      <c r="K154" s="91"/>
      <c r="L154" s="76">
        <f>IFERROR(CEILING(2*C154*1000/VALUE(LEFT(VLOOKUP(mod_base,comando_dati,2,FALSE),3)),1),"-")</f>
        <v>1141</v>
      </c>
      <c r="N154" s="117"/>
      <c r="P154" s="119"/>
      <c r="Q154" s="119"/>
      <c r="R154" s="119"/>
      <c r="S154" s="119"/>
      <c r="Y154" s="76">
        <f>IF(LEFT(F154,3)="142",50/2,75/2)</f>
        <v>25</v>
      </c>
      <c r="Z154" s="91"/>
      <c r="AA154" s="91"/>
      <c r="AB154" s="91"/>
      <c r="AC154" s="91"/>
      <c r="AD154" s="91"/>
      <c r="AZ154" s="102">
        <v>154</v>
      </c>
      <c r="BA154" s="91" t="s">
        <v>1569</v>
      </c>
      <c r="BB154" s="91" t="s">
        <v>1569</v>
      </c>
      <c r="BC154" s="91" t="s">
        <v>1569</v>
      </c>
      <c r="BD154" s="91" t="s">
        <v>1569</v>
      </c>
      <c r="BE154" s="91" t="s">
        <v>1569</v>
      </c>
      <c r="BF154" s="91" t="s">
        <v>1569</v>
      </c>
      <c r="BG154" s="91" t="s">
        <v>1569</v>
      </c>
      <c r="BH154" s="91" t="s">
        <v>1569</v>
      </c>
      <c r="BI154" s="91" t="s">
        <v>1569</v>
      </c>
      <c r="BJ154" s="91" t="s">
        <v>1569</v>
      </c>
      <c r="BK154" s="91" t="s">
        <v>1569</v>
      </c>
      <c r="BL154" s="102"/>
    </row>
    <row r="155" spans="2:64" ht="15" customHeight="1" x14ac:dyDescent="0.15">
      <c r="C155" s="91"/>
      <c r="F155" s="91"/>
      <c r="G155" s="91"/>
      <c r="H155" s="91"/>
      <c r="I155" s="91"/>
      <c r="J155" s="91"/>
      <c r="K155" s="91"/>
      <c r="L155" s="91"/>
      <c r="N155" s="117"/>
      <c r="P155" s="118"/>
      <c r="Q155" s="118"/>
      <c r="R155" s="118"/>
      <c r="S155" s="119"/>
      <c r="Y155" s="91"/>
      <c r="Z155" s="91"/>
      <c r="AA155" s="91"/>
      <c r="AB155" s="91"/>
      <c r="AC155" s="91"/>
      <c r="AD155" s="91"/>
      <c r="AZ155" s="102">
        <v>155</v>
      </c>
      <c r="BA155" s="91" t="s">
        <v>1569</v>
      </c>
      <c r="BB155" s="91" t="s">
        <v>1569</v>
      </c>
      <c r="BC155" s="91" t="s">
        <v>1569</v>
      </c>
      <c r="BD155" s="91" t="s">
        <v>1569</v>
      </c>
      <c r="BE155" s="91" t="s">
        <v>1569</v>
      </c>
      <c r="BF155" s="91" t="s">
        <v>1569</v>
      </c>
      <c r="BG155" s="91" t="s">
        <v>1569</v>
      </c>
      <c r="BH155" s="91" t="s">
        <v>1569</v>
      </c>
      <c r="BI155" s="91" t="s">
        <v>1569</v>
      </c>
      <c r="BJ155" s="91" t="s">
        <v>1569</v>
      </c>
      <c r="BK155" s="91" t="s">
        <v>1569</v>
      </c>
      <c r="BL155" s="102"/>
    </row>
    <row r="156" spans="2:64" ht="15" customHeight="1" x14ac:dyDescent="0.15">
      <c r="B156" s="142" t="str">
        <f>VLOOKUP(BA156,trad_termini,ID_lingua,FALSE)</f>
        <v>Hubs for Sectors</v>
      </c>
      <c r="C156" s="91"/>
      <c r="F156" s="91"/>
      <c r="G156" s="91"/>
      <c r="H156" s="91"/>
      <c r="I156" s="91"/>
      <c r="J156" s="91"/>
      <c r="K156" s="91"/>
      <c r="L156" s="91"/>
      <c r="N156" s="117"/>
      <c r="P156" s="118"/>
      <c r="Q156" s="118"/>
      <c r="R156" s="118"/>
      <c r="S156" s="119"/>
      <c r="Y156" s="91"/>
      <c r="Z156" s="91"/>
      <c r="AA156" s="91"/>
      <c r="AB156" s="91"/>
      <c r="AC156" s="91"/>
      <c r="AD156" s="91"/>
      <c r="AZ156" s="102">
        <v>156</v>
      </c>
      <c r="BA156" s="91">
        <v>145</v>
      </c>
      <c r="BB156" s="91" t="s">
        <v>1569</v>
      </c>
      <c r="BC156" s="91" t="s">
        <v>1569</v>
      </c>
      <c r="BD156" s="91" t="s">
        <v>1569</v>
      </c>
      <c r="BE156" s="91" t="s">
        <v>1569</v>
      </c>
      <c r="BF156" s="91" t="s">
        <v>1569</v>
      </c>
      <c r="BG156" s="91" t="s">
        <v>1569</v>
      </c>
      <c r="BH156" s="91" t="s">
        <v>1569</v>
      </c>
      <c r="BI156" s="91" t="s">
        <v>1569</v>
      </c>
      <c r="BJ156" s="91" t="s">
        <v>1569</v>
      </c>
      <c r="BK156" s="91" t="s">
        <v>1569</v>
      </c>
      <c r="BL156" s="102"/>
    </row>
    <row r="157" spans="2:64" ht="15" customHeight="1" x14ac:dyDescent="0.15">
      <c r="C157" s="253" t="str">
        <f>VLOOKUP(BB157,trad_termini,ID_lingua,FALSE)</f>
        <v>Sprocket</v>
      </c>
      <c r="D157" s="255"/>
      <c r="E157" s="255"/>
      <c r="F157" s="254"/>
      <c r="G157" s="253" t="str">
        <f>VLOOKUP(BF157,trad_termini,ID_lingua,FALSE)</f>
        <v>Toothed sectors</v>
      </c>
      <c r="H157" s="254"/>
      <c r="J157" s="253" t="str">
        <f>VLOOKUP(BI157,trad_termini,ID_lingua,FALSE)</f>
        <v>Screws</v>
      </c>
      <c r="K157" s="255"/>
      <c r="L157" s="254"/>
      <c r="N157" s="117"/>
      <c r="P157" s="119"/>
      <c r="Q157" s="119"/>
      <c r="R157" s="119"/>
      <c r="S157" s="119"/>
      <c r="Y157" s="91"/>
      <c r="Z157" s="91"/>
      <c r="AA157" s="91"/>
      <c r="AB157" s="91"/>
      <c r="AC157" s="91"/>
      <c r="AD157" s="91"/>
      <c r="AZ157" s="102">
        <v>157</v>
      </c>
      <c r="BA157" s="91" t="s">
        <v>1569</v>
      </c>
      <c r="BB157" s="91">
        <v>144</v>
      </c>
      <c r="BC157" s="91" t="s">
        <v>1569</v>
      </c>
      <c r="BD157" s="91" t="s">
        <v>1569</v>
      </c>
      <c r="BE157" s="91" t="s">
        <v>1569</v>
      </c>
      <c r="BF157" s="91">
        <v>148</v>
      </c>
      <c r="BG157" s="91" t="s">
        <v>1569</v>
      </c>
      <c r="BH157" s="91" t="s">
        <v>1569</v>
      </c>
      <c r="BI157" s="91">
        <v>179</v>
      </c>
      <c r="BJ157" s="91" t="s">
        <v>1569</v>
      </c>
      <c r="BK157" s="91" t="s">
        <v>1569</v>
      </c>
      <c r="BL157" s="102"/>
    </row>
    <row r="158" spans="2:64" ht="15" customHeight="1" x14ac:dyDescent="0.15">
      <c r="C158" s="91" t="str">
        <f>VLOOKUP(BB158,trad_termini,ID_lingua,FALSE)</f>
        <v>Qty</v>
      </c>
      <c r="D158" s="224" t="str">
        <f>VLOOKUP(BC158,trad_termini,ID_lingua,FALSE)</f>
        <v>Drawing</v>
      </c>
      <c r="E158" s="224"/>
      <c r="F158" s="91" t="str">
        <f>VLOOKUP(BE158,trad_termini,ID_lingua,FALSE)</f>
        <v>D(hole) H8</v>
      </c>
      <c r="G158" s="91" t="str">
        <f>VLOOKUP(BF158,trad_termini,ID_lingua,FALSE)</f>
        <v>Qty</v>
      </c>
      <c r="H158" s="91" t="s">
        <v>181</v>
      </c>
      <c r="J158" s="91" t="str">
        <f>VLOOKUP(BI158,trad_termini,ID_lingua,FALSE)</f>
        <v>Qty</v>
      </c>
      <c r="K158" s="224" t="str">
        <f>VLOOKUP(BJ158,trad_termini,ID_lingua,FALSE)</f>
        <v>Standard Item</v>
      </c>
      <c r="L158" s="224"/>
      <c r="N158" s="117"/>
      <c r="P158" s="119"/>
      <c r="Q158" s="119"/>
      <c r="R158" s="119"/>
      <c r="S158" s="119"/>
      <c r="Y158" s="91"/>
      <c r="Z158" s="91"/>
      <c r="AA158" s="91"/>
      <c r="AB158" s="91"/>
      <c r="AC158" s="91"/>
      <c r="AD158" s="91"/>
      <c r="AZ158" s="102">
        <v>158</v>
      </c>
      <c r="BA158" s="91" t="s">
        <v>1569</v>
      </c>
      <c r="BB158" s="91">
        <v>128</v>
      </c>
      <c r="BC158" s="91">
        <v>57</v>
      </c>
      <c r="BD158" s="91" t="s">
        <v>1569</v>
      </c>
      <c r="BE158" s="91">
        <v>44</v>
      </c>
      <c r="BF158" s="91">
        <v>128</v>
      </c>
      <c r="BG158" s="91" t="s">
        <v>1569</v>
      </c>
      <c r="BH158" s="91" t="s">
        <v>1569</v>
      </c>
      <c r="BI158" s="91">
        <v>128</v>
      </c>
      <c r="BJ158" s="91">
        <v>54</v>
      </c>
      <c r="BK158" s="91" t="s">
        <v>1569</v>
      </c>
      <c r="BL158" s="102"/>
    </row>
    <row r="159" spans="2:64" ht="15" customHeight="1" x14ac:dyDescent="0.15">
      <c r="B159" s="24" t="str">
        <f>VLOOKUP(BA159,trad_termini,ID_lingua,FALSE)</f>
        <v>Driving Head</v>
      </c>
      <c r="C159" s="76">
        <v>2</v>
      </c>
      <c r="D159" s="196" t="str">
        <f>CONCATENATE(IF(W_cassa&lt;=40,"014",VLOOKUP(mod_base,macchina_dati,2,FALSE)),".00.02.",RIGHT(TEXT(D_alb_com,"000"),2),".70.00")</f>
        <v>014.00.02.35.70.00</v>
      </c>
      <c r="E159" s="196"/>
      <c r="F159" s="76">
        <f>D_alb_com</f>
        <v>135</v>
      </c>
      <c r="G159" s="76">
        <f>C90*8</f>
        <v>8</v>
      </c>
      <c r="H159" s="76">
        <f>VLOOKUP(mod_base,comando_dati,3,FALSE)</f>
        <v>10</v>
      </c>
      <c r="J159" s="76">
        <f>IFERROR(C159*VLOOKUP(mod_base,comando_dati,6,FALSE),"-")</f>
        <v>20</v>
      </c>
      <c r="K159" s="184" t="str">
        <f>CONCATENATE("UNI 5737 - ",VLOOKUP(mod_base,comando_dati,7,FALSE)," - 8.8")</f>
        <v>UNI 5737 - M16x90 - 8.8</v>
      </c>
      <c r="L159" s="185"/>
      <c r="N159" s="117"/>
      <c r="P159" s="119"/>
      <c r="Q159" s="119"/>
      <c r="R159" s="119"/>
      <c r="S159" s="119"/>
      <c r="Y159" s="91"/>
      <c r="Z159" s="91"/>
      <c r="AA159" s="91"/>
      <c r="AB159" s="91"/>
      <c r="AC159" s="91"/>
      <c r="AD159" s="91"/>
      <c r="AZ159" s="102">
        <v>159</v>
      </c>
      <c r="BA159" s="91">
        <v>26</v>
      </c>
      <c r="BB159" s="91" t="s">
        <v>1569</v>
      </c>
      <c r="BC159" s="91" t="s">
        <v>1569</v>
      </c>
      <c r="BD159" s="91" t="s">
        <v>1569</v>
      </c>
      <c r="BE159" s="91" t="s">
        <v>1569</v>
      </c>
      <c r="BF159" s="91" t="s">
        <v>1569</v>
      </c>
      <c r="BG159" s="91" t="s">
        <v>1569</v>
      </c>
      <c r="BH159" s="91" t="s">
        <v>1569</v>
      </c>
      <c r="BI159" s="91" t="s">
        <v>1569</v>
      </c>
      <c r="BJ159" s="91" t="s">
        <v>1569</v>
      </c>
      <c r="BK159" s="91" t="s">
        <v>1569</v>
      </c>
      <c r="BL159" s="102"/>
    </row>
    <row r="160" spans="2:64" ht="15" customHeight="1" x14ac:dyDescent="0.15">
      <c r="B160" s="24" t="str">
        <f>VLOOKUP(BA160,trad_termini,ID_lingua,FALSE)</f>
        <v>Return Head</v>
      </c>
      <c r="C160" s="76">
        <v>2</v>
      </c>
      <c r="D160" s="196" t="str">
        <f>CONCATENATE(IF(W_cassa&lt;=40,"014",VLOOKUP(mod_base,macchina_dati,2,FALSE)),".00.05.",IF(flg_rnv_mot=1,"01","00"),".70.00")</f>
        <v>014.00.05.00.70.00</v>
      </c>
      <c r="E160" s="196"/>
      <c r="F160" s="76">
        <f>IF(flg_rnv_mot=1,VLOOKUP(mod_base,rinvio_dati,23,FALSE),VLOOKUP(mod_base,rinvio_dati,10,FALSE))</f>
        <v>70</v>
      </c>
      <c r="G160" s="76">
        <f>C92*8</f>
        <v>8</v>
      </c>
      <c r="H160" s="76">
        <f>IF(flg_rnv_mot=1,VLOOKUP(mod_base,rinvio_dati,3,FALSE),VLOOKUP(mod_base,rinvio_dati,3,FALSE))</f>
        <v>10</v>
      </c>
      <c r="J160" s="76">
        <f>IF(flg_rnv_mot=0,IFERROR(C160*VLOOKUP(mod_base,rinvio_dati,6,FALSE),"-"),IFERROR(C159*VLOOKUP(mod_base,comando_dati,6,FALSE),"-"))</f>
        <v>12</v>
      </c>
      <c r="K160" s="184" t="str">
        <f>IF(flg_rnv_mot=0,CONCATENATE("UNI 5737 - ",VLOOKUP(mod_base,rinvio_dati,7,FALSE)," - 8.8"),CONCATENATE("UNI 5737 - ",VLOOKUP(mod_base,comando_dati,7,FALSE)," - 8.8"))</f>
        <v>UNI 5737 - M16x90 - 8.8</v>
      </c>
      <c r="L160" s="185"/>
      <c r="N160" s="117"/>
      <c r="P160" s="119"/>
      <c r="Q160" s="119"/>
      <c r="R160" s="119"/>
      <c r="S160" s="119"/>
      <c r="Y160" s="91"/>
      <c r="Z160" s="91"/>
      <c r="AA160" s="91"/>
      <c r="AB160" s="91"/>
      <c r="AC160" s="91"/>
      <c r="AD160" s="91"/>
      <c r="AZ160" s="102">
        <v>160</v>
      </c>
      <c r="BA160" s="91">
        <v>138</v>
      </c>
      <c r="BB160" s="91" t="s">
        <v>1569</v>
      </c>
      <c r="BC160" s="91" t="s">
        <v>1569</v>
      </c>
      <c r="BD160" s="91" t="s">
        <v>1569</v>
      </c>
      <c r="BE160" s="91" t="s">
        <v>1569</v>
      </c>
      <c r="BF160" s="91" t="s">
        <v>1569</v>
      </c>
      <c r="BG160" s="91" t="s">
        <v>1569</v>
      </c>
      <c r="BH160" s="91" t="s">
        <v>1569</v>
      </c>
      <c r="BI160" s="91" t="s">
        <v>1569</v>
      </c>
      <c r="BJ160" s="91" t="s">
        <v>1569</v>
      </c>
      <c r="BK160" s="91" t="s">
        <v>1569</v>
      </c>
      <c r="BL160" s="102"/>
    </row>
    <row r="161" spans="2:64" ht="15" customHeight="1" x14ac:dyDescent="0.15">
      <c r="C161" s="91"/>
      <c r="D161" s="91"/>
      <c r="E161" s="91"/>
      <c r="F161" s="91"/>
      <c r="G161" s="91"/>
      <c r="H161" s="91"/>
      <c r="J161" s="91"/>
      <c r="K161" s="147"/>
      <c r="L161" s="147"/>
      <c r="N161" s="117"/>
      <c r="P161" s="119"/>
      <c r="Q161" s="119"/>
      <c r="R161" s="119"/>
      <c r="S161" s="119"/>
      <c r="Y161" s="91"/>
      <c r="Z161" s="91"/>
      <c r="AA161" s="91"/>
      <c r="AB161" s="91"/>
      <c r="AC161" s="91"/>
      <c r="AD161" s="91"/>
      <c r="AZ161" s="102">
        <v>161</v>
      </c>
      <c r="BA161" s="91" t="s">
        <v>1569</v>
      </c>
      <c r="BB161" s="91" t="s">
        <v>1569</v>
      </c>
      <c r="BC161" s="91" t="s">
        <v>1569</v>
      </c>
      <c r="BD161" s="91" t="s">
        <v>1569</v>
      </c>
      <c r="BE161" s="91" t="s">
        <v>1569</v>
      </c>
      <c r="BF161" s="91" t="s">
        <v>1569</v>
      </c>
      <c r="BG161" s="91" t="s">
        <v>1569</v>
      </c>
      <c r="BH161" s="91" t="s">
        <v>1569</v>
      </c>
      <c r="BI161" s="91" t="s">
        <v>1569</v>
      </c>
      <c r="BJ161" s="91" t="s">
        <v>1569</v>
      </c>
      <c r="BK161" s="91" t="s">
        <v>1569</v>
      </c>
      <c r="BL161" s="102"/>
    </row>
    <row r="162" spans="2:64" ht="15" customHeight="1" x14ac:dyDescent="0.15">
      <c r="B162" s="142" t="str">
        <f>VLOOKUP(BA162,trad_termini,ID_lingua,FALSE)</f>
        <v>Bearing Assemblies</v>
      </c>
      <c r="C162" s="91"/>
      <c r="F162" s="91"/>
      <c r="G162" s="91"/>
      <c r="H162" s="91"/>
      <c r="I162" s="91"/>
      <c r="J162" s="91"/>
      <c r="N162" s="117"/>
      <c r="P162" s="118"/>
      <c r="Q162" s="118"/>
      <c r="R162" s="118"/>
      <c r="S162" s="119"/>
      <c r="Z162" s="91"/>
      <c r="AA162" s="91"/>
      <c r="AB162" s="91"/>
      <c r="AC162" s="91"/>
      <c r="AD162" s="91"/>
      <c r="AZ162" s="102">
        <v>162</v>
      </c>
      <c r="BA162" s="91">
        <v>151</v>
      </c>
      <c r="BB162" s="91" t="s">
        <v>1569</v>
      </c>
      <c r="BC162" s="91" t="s">
        <v>1569</v>
      </c>
      <c r="BD162" s="91" t="s">
        <v>1569</v>
      </c>
      <c r="BE162" s="91" t="s">
        <v>1569</v>
      </c>
      <c r="BF162" s="91" t="s">
        <v>1569</v>
      </c>
      <c r="BG162" s="91" t="s">
        <v>1569</v>
      </c>
      <c r="BH162" s="91" t="s">
        <v>1569</v>
      </c>
      <c r="BI162" s="91" t="s">
        <v>1569</v>
      </c>
      <c r="BJ162" s="91" t="s">
        <v>1569</v>
      </c>
      <c r="BK162" s="91" t="s">
        <v>1569</v>
      </c>
      <c r="BL162" s="102"/>
    </row>
    <row r="163" spans="2:64" ht="15" customHeight="1" x14ac:dyDescent="0.15">
      <c r="B163" s="121"/>
      <c r="C163" s="91"/>
      <c r="D163" s="91" t="s">
        <v>60</v>
      </c>
      <c r="F163" s="91"/>
      <c r="G163" s="91"/>
      <c r="H163" s="121"/>
      <c r="I163" s="91"/>
      <c r="J163" s="91" t="s">
        <v>60</v>
      </c>
      <c r="N163" s="117"/>
      <c r="P163" s="118"/>
      <c r="Q163" s="118"/>
      <c r="R163" s="118"/>
      <c r="S163" s="119"/>
      <c r="Z163" s="91"/>
      <c r="AA163" s="91"/>
      <c r="AB163" s="91"/>
      <c r="AC163" s="91"/>
      <c r="AD163" s="91"/>
      <c r="AZ163" s="102">
        <v>163</v>
      </c>
      <c r="BA163" s="91" t="s">
        <v>1569</v>
      </c>
      <c r="BB163" s="91" t="s">
        <v>1569</v>
      </c>
      <c r="BC163" s="91" t="s">
        <v>1569</v>
      </c>
      <c r="BD163" s="91" t="s">
        <v>1569</v>
      </c>
      <c r="BE163" s="91" t="s">
        <v>1569</v>
      </c>
      <c r="BF163" s="91" t="s">
        <v>1569</v>
      </c>
      <c r="BG163" s="91" t="s">
        <v>1569</v>
      </c>
      <c r="BH163" s="91" t="s">
        <v>1569</v>
      </c>
      <c r="BI163" s="91" t="s">
        <v>1569</v>
      </c>
      <c r="BJ163" s="91" t="s">
        <v>1569</v>
      </c>
      <c r="BK163" s="91" t="s">
        <v>1569</v>
      </c>
      <c r="BL163" s="102"/>
    </row>
    <row r="164" spans="2:64" ht="15" customHeight="1" x14ac:dyDescent="0.15">
      <c r="B164" s="169" t="str">
        <f>VLOOKUP(BA164,trad_termini,ID_lingua,FALSE)</f>
        <v>Driving Head</v>
      </c>
      <c r="C164" s="91"/>
      <c r="D164" s="170">
        <v>135</v>
      </c>
      <c r="F164" s="91"/>
      <c r="G164" s="91"/>
      <c r="H164" s="169" t="str">
        <f>VLOOKUP(BG164,trad_termini,ID_lingua,FALSE)</f>
        <v>Return Head</v>
      </c>
      <c r="I164" s="91"/>
      <c r="J164" s="140">
        <f>VLOOKUP(mod_base,rinvio_dati,10,FALSE)</f>
        <v>70</v>
      </c>
      <c r="K164" s="91"/>
      <c r="L164" s="91"/>
      <c r="N164" s="117"/>
      <c r="P164" s="118"/>
      <c r="Q164" s="118"/>
      <c r="R164" s="118"/>
      <c r="S164" s="119"/>
      <c r="Z164" s="91"/>
      <c r="AA164" s="91"/>
      <c r="AB164" s="91"/>
      <c r="AC164" s="91"/>
      <c r="AD164" s="91"/>
      <c r="AZ164" s="102">
        <v>164</v>
      </c>
      <c r="BA164" s="91">
        <v>26</v>
      </c>
      <c r="BB164" s="91" t="s">
        <v>1569</v>
      </c>
      <c r="BC164" s="91" t="s">
        <v>1569</v>
      </c>
      <c r="BD164" s="91" t="s">
        <v>1569</v>
      </c>
      <c r="BE164" s="91" t="s">
        <v>1569</v>
      </c>
      <c r="BF164" s="91" t="s">
        <v>1569</v>
      </c>
      <c r="BG164" s="91">
        <v>138</v>
      </c>
      <c r="BH164" s="91" t="s">
        <v>1569</v>
      </c>
      <c r="BI164" s="91" t="s">
        <v>1569</v>
      </c>
      <c r="BJ164" s="91" t="s">
        <v>1569</v>
      </c>
      <c r="BK164" s="91" t="s">
        <v>1569</v>
      </c>
      <c r="BL164" s="102"/>
    </row>
    <row r="165" spans="2:64" ht="15" customHeight="1" x14ac:dyDescent="0.15">
      <c r="B165" s="171"/>
      <c r="C165" s="91"/>
      <c r="D165" s="91"/>
      <c r="F165" s="91"/>
      <c r="G165" s="91"/>
      <c r="J165" s="91"/>
      <c r="K165" s="91"/>
      <c r="L165" s="91"/>
      <c r="N165" s="117"/>
      <c r="P165" s="118"/>
      <c r="Q165" s="118"/>
      <c r="R165" s="118"/>
      <c r="S165" s="119"/>
      <c r="Z165" s="91"/>
      <c r="AA165" s="91"/>
      <c r="AB165" s="91"/>
      <c r="AC165" s="91"/>
      <c r="AD165" s="91"/>
      <c r="AZ165" s="102">
        <v>165</v>
      </c>
      <c r="BA165" s="91" t="s">
        <v>1569</v>
      </c>
      <c r="BB165" s="91" t="s">
        <v>1569</v>
      </c>
      <c r="BC165" s="91" t="s">
        <v>1569</v>
      </c>
      <c r="BD165" s="91" t="s">
        <v>1569</v>
      </c>
      <c r="BE165" s="91" t="s">
        <v>1569</v>
      </c>
      <c r="BF165" s="91" t="s">
        <v>1569</v>
      </c>
      <c r="BG165" s="91" t="s">
        <v>1569</v>
      </c>
      <c r="BH165" s="91" t="s">
        <v>1569</v>
      </c>
      <c r="BI165" s="91" t="s">
        <v>1569</v>
      </c>
      <c r="BJ165" s="91" t="s">
        <v>1569</v>
      </c>
      <c r="BK165" s="91" t="s">
        <v>1569</v>
      </c>
      <c r="BL165" s="102"/>
    </row>
    <row r="166" spans="2:64" ht="15" customHeight="1" x14ac:dyDescent="0.15">
      <c r="D166" s="107" t="str">
        <f>VLOOKUP(BC166,trad_termini,ID_lingua,FALSE)</f>
        <v>Qty</v>
      </c>
      <c r="E166" s="188" t="str">
        <f>VLOOKUP(BD166,trad_termini,ID_lingua,FALSE)</f>
        <v>Type</v>
      </c>
      <c r="F166" s="188"/>
      <c r="J166" s="107" t="str">
        <f>VLOOKUP(BI166,trad_termini,ID_lingua,FALSE)</f>
        <v>Qty</v>
      </c>
      <c r="K166" s="188" t="str">
        <f>VLOOKUP(BJ166,trad_termini,ID_lingua,FALSE)</f>
        <v>Type</v>
      </c>
      <c r="L166" s="188"/>
      <c r="N166" s="117"/>
      <c r="P166" s="118"/>
      <c r="Q166" s="118"/>
      <c r="R166" s="118"/>
      <c r="S166" s="119"/>
      <c r="Z166" s="91"/>
      <c r="AA166" s="91"/>
      <c r="AB166" s="91"/>
      <c r="AC166" s="91"/>
      <c r="AD166" s="91"/>
      <c r="AZ166" s="102">
        <v>166</v>
      </c>
      <c r="BA166" s="91" t="s">
        <v>1569</v>
      </c>
      <c r="BB166" s="91" t="s">
        <v>1569</v>
      </c>
      <c r="BC166" s="91">
        <v>128</v>
      </c>
      <c r="BD166" s="91">
        <v>168</v>
      </c>
      <c r="BE166" s="91" t="s">
        <v>1569</v>
      </c>
      <c r="BF166" s="91" t="s">
        <v>1569</v>
      </c>
      <c r="BG166" s="91" t="s">
        <v>1569</v>
      </c>
      <c r="BH166" s="91" t="s">
        <v>1569</v>
      </c>
      <c r="BI166" s="91">
        <v>128</v>
      </c>
      <c r="BJ166" s="91">
        <v>168</v>
      </c>
      <c r="BK166" s="91" t="s">
        <v>1569</v>
      </c>
      <c r="BL166" s="102"/>
    </row>
    <row r="167" spans="2:64" ht="15" customHeight="1" x14ac:dyDescent="0.15">
      <c r="B167" s="192" t="str">
        <f>VLOOKUP(BA167,trad_termini,ID_lingua,FALSE)</f>
        <v>Bearing Assembly</v>
      </c>
      <c r="C167" s="192"/>
      <c r="D167" s="76">
        <v>2</v>
      </c>
      <c r="E167" s="196" t="str">
        <f>IFERROR(VLOOKUP(D_alb_com,sopporti_dati,2,FALSE),"-")</f>
        <v>D135</v>
      </c>
      <c r="F167" s="196"/>
      <c r="H167" s="192" t="str">
        <f>VLOOKUP(BG167,trad_termini,ID_lingua,FALSE)</f>
        <v>Bearing Assembly</v>
      </c>
      <c r="I167" s="192"/>
      <c r="J167" s="76">
        <v>2</v>
      </c>
      <c r="K167" s="196" t="str">
        <f>IFERROR(VLOOKUP(D_alb_rnv,sopporti_rnv_dati,2,FALSE),"-")</f>
        <v>TK-R 70</v>
      </c>
      <c r="L167" s="196"/>
      <c r="N167" s="117"/>
      <c r="P167" s="118"/>
      <c r="Q167" s="118"/>
      <c r="R167" s="118"/>
      <c r="S167" s="119"/>
      <c r="Y167" s="91"/>
      <c r="Z167" s="91"/>
      <c r="AA167" s="91"/>
      <c r="AB167" s="91"/>
      <c r="AC167" s="91"/>
      <c r="AD167" s="91"/>
      <c r="AZ167" s="102">
        <v>167</v>
      </c>
      <c r="BA167" s="91">
        <v>152</v>
      </c>
      <c r="BB167" s="91" t="s">
        <v>1569</v>
      </c>
      <c r="BC167" s="91" t="s">
        <v>1569</v>
      </c>
      <c r="BD167" s="91" t="s">
        <v>1569</v>
      </c>
      <c r="BE167" s="91" t="s">
        <v>1569</v>
      </c>
      <c r="BF167" s="91" t="s">
        <v>1569</v>
      </c>
      <c r="BG167" s="91">
        <v>152</v>
      </c>
      <c r="BH167" s="91" t="s">
        <v>1569</v>
      </c>
      <c r="BI167" s="91" t="s">
        <v>1569</v>
      </c>
      <c r="BJ167" s="91" t="s">
        <v>1569</v>
      </c>
      <c r="BK167" s="91" t="s">
        <v>1569</v>
      </c>
      <c r="BL167" s="102"/>
    </row>
    <row r="168" spans="2:64" ht="15" customHeight="1" x14ac:dyDescent="0.15">
      <c r="B168" s="192" t="str">
        <f>VLOOKUP(BA168,trad_termini,ID_lingua,FALSE)</f>
        <v>Rolling Bearing</v>
      </c>
      <c r="C168" s="192"/>
      <c r="D168" s="76">
        <f>IFERROR(D167*VLOOKUP(D164,sopporti_dati,4,FALSE),"-")</f>
        <v>2</v>
      </c>
      <c r="E168" s="196" t="str">
        <f>IFERROR(VLOOKUP(D_alb_com,sopporti_dati,3,FALSE),"-")</f>
        <v>23130 CCK + H 3130</v>
      </c>
      <c r="F168" s="196"/>
      <c r="H168" s="192" t="str">
        <f>VLOOKUP(BG168,trad_termini,ID_lingua,FALSE)</f>
        <v>Rolling Bearing</v>
      </c>
      <c r="I168" s="192"/>
      <c r="J168" s="76">
        <f>IFERROR(J167*VLOOKUP(D_alb_rnv,sopporti_rnv_dati,4,FALSE),"-")</f>
        <v>2</v>
      </c>
      <c r="K168" s="196" t="str">
        <f>IFERROR(VLOOKUP(D_alb_rnv,sopporti_rnv_dati,3,FALSE),"-")</f>
        <v>22216 EK + H 316</v>
      </c>
      <c r="L168" s="196"/>
      <c r="N168" s="117"/>
      <c r="P168" s="118"/>
      <c r="Q168" s="118"/>
      <c r="R168" s="118"/>
      <c r="S168" s="119"/>
      <c r="Y168" s="91"/>
      <c r="Z168" s="91"/>
      <c r="AA168" s="91"/>
      <c r="AB168" s="91"/>
      <c r="AC168" s="91"/>
      <c r="AD168" s="91"/>
      <c r="AZ168" s="102">
        <v>168</v>
      </c>
      <c r="BA168" s="91">
        <v>41</v>
      </c>
      <c r="BB168" s="91" t="s">
        <v>1569</v>
      </c>
      <c r="BC168" s="91" t="s">
        <v>1569</v>
      </c>
      <c r="BD168" s="91" t="s">
        <v>1569</v>
      </c>
      <c r="BE168" s="91" t="s">
        <v>1569</v>
      </c>
      <c r="BF168" s="91" t="s">
        <v>1569</v>
      </c>
      <c r="BG168" s="91">
        <v>41</v>
      </c>
      <c r="BH168" s="91" t="s">
        <v>1569</v>
      </c>
      <c r="BI168" s="91" t="s">
        <v>1569</v>
      </c>
      <c r="BJ168" s="91" t="s">
        <v>1569</v>
      </c>
      <c r="BK168" s="91" t="s">
        <v>1569</v>
      </c>
      <c r="BL168" s="102"/>
    </row>
    <row r="169" spans="2:64" ht="15" customHeight="1" x14ac:dyDescent="0.15">
      <c r="B169" s="192" t="str">
        <f>VLOOKUP(BA169,trad_termini,ID_lingua,FALSE)</f>
        <v>Shaft Seals</v>
      </c>
      <c r="C169" s="192"/>
      <c r="D169" s="76">
        <f>IFERROR(D167*VLOOKUP(D164,sopporti_dati,6,FALSE),"-")</f>
        <v>4</v>
      </c>
      <c r="E169" s="196" t="str">
        <f>IFERROR(VLOOKUP(D_alb_com,sopporti_dati,5,FALSE),"-")</f>
        <v>135x160x12</v>
      </c>
      <c r="F169" s="196"/>
      <c r="H169" s="192" t="str">
        <f>VLOOKUP(BG169,trad_termini,ID_lingua,FALSE)</f>
        <v>Shaft Seals</v>
      </c>
      <c r="I169" s="192"/>
      <c r="J169" s="76">
        <f>IFERROR(J167*VLOOKUP(D_alb_rnv,sopporti_rnv_dati,6,FALSE),"-")</f>
        <v>4</v>
      </c>
      <c r="K169" s="196" t="str">
        <f>IFERROR(VLOOKUP(D_alb_rnv,sopporti_rnv_dati,5,FALSE),"-")</f>
        <v>70x100x10</v>
      </c>
      <c r="L169" s="196"/>
      <c r="N169" s="117"/>
      <c r="P169" s="118"/>
      <c r="Q169" s="118"/>
      <c r="R169" s="118"/>
      <c r="S169" s="119"/>
      <c r="Y169" s="91"/>
      <c r="Z169" s="91"/>
      <c r="AA169" s="91"/>
      <c r="AB169" s="91"/>
      <c r="AC169" s="91"/>
      <c r="AD169" s="91"/>
      <c r="AZ169" s="102">
        <v>169</v>
      </c>
      <c r="BA169" s="91">
        <v>164</v>
      </c>
      <c r="BB169" s="91" t="s">
        <v>1569</v>
      </c>
      <c r="BC169" s="91" t="s">
        <v>1569</v>
      </c>
      <c r="BD169" s="91" t="s">
        <v>1569</v>
      </c>
      <c r="BE169" s="91" t="s">
        <v>1569</v>
      </c>
      <c r="BF169" s="91" t="s">
        <v>1569</v>
      </c>
      <c r="BG169" s="91">
        <v>164</v>
      </c>
      <c r="BH169" s="91" t="s">
        <v>1569</v>
      </c>
      <c r="BI169" s="91" t="s">
        <v>1569</v>
      </c>
      <c r="BJ169" s="91" t="s">
        <v>1569</v>
      </c>
      <c r="BK169" s="91" t="s">
        <v>1569</v>
      </c>
      <c r="BL169" s="102"/>
    </row>
    <row r="170" spans="2:64" ht="15" customHeight="1" x14ac:dyDescent="0.15">
      <c r="B170" s="192" t="str">
        <f>VLOOKUP(BA170,trad_termini,ID_lingua,FALSE)</f>
        <v>Locating Rings*</v>
      </c>
      <c r="C170" s="192"/>
      <c r="D170" s="76">
        <f>IFERROR(VLOOKUP(D_alb_com,sopporti_dati,8,FALSE),"-")</f>
        <v>1</v>
      </c>
      <c r="E170" s="196" t="str">
        <f>IFERROR(VLOOKUP(D_alb_com,sopporti_dati,7,FALSE),"-")</f>
        <v>FRB 15/250</v>
      </c>
      <c r="F170" s="196"/>
      <c r="H170" s="192" t="str">
        <f>VLOOKUP(BG170,trad_termini,ID_lingua,FALSE)</f>
        <v>O-Ring</v>
      </c>
      <c r="I170" s="192"/>
      <c r="J170" s="76">
        <f>IFERROR(J167*VLOOKUP(D_alb_rnv,sopporti_rnv_dati,8,FALSE),"-")</f>
        <v>2</v>
      </c>
      <c r="K170" s="196" t="str">
        <f>IFERROR(VLOOKUP(D_alb_rnv,sopporti_rnv_dati,7,FALSE),"-")</f>
        <v>139.36x2.62</v>
      </c>
      <c r="L170" s="196"/>
      <c r="N170" s="117"/>
      <c r="P170" s="118"/>
      <c r="Q170" s="118"/>
      <c r="R170" s="118"/>
      <c r="S170" s="119"/>
      <c r="Y170" s="91"/>
      <c r="Z170" s="91"/>
      <c r="AA170" s="91"/>
      <c r="AB170" s="91"/>
      <c r="AC170" s="91"/>
      <c r="AD170" s="91"/>
      <c r="AZ170" s="102">
        <v>170</v>
      </c>
      <c r="BA170" s="91">
        <v>7</v>
      </c>
      <c r="BB170" s="91" t="s">
        <v>1569</v>
      </c>
      <c r="BC170" s="91" t="s">
        <v>1569</v>
      </c>
      <c r="BD170" s="91" t="s">
        <v>1569</v>
      </c>
      <c r="BE170" s="91" t="s">
        <v>1569</v>
      </c>
      <c r="BF170" s="91" t="s">
        <v>1569</v>
      </c>
      <c r="BG170" s="91">
        <v>115</v>
      </c>
      <c r="BH170" s="91" t="s">
        <v>1569</v>
      </c>
      <c r="BI170" s="91" t="s">
        <v>1569</v>
      </c>
      <c r="BJ170" s="91" t="s">
        <v>1569</v>
      </c>
      <c r="BK170" s="91" t="s">
        <v>1569</v>
      </c>
      <c r="BL170" s="102"/>
    </row>
    <row r="171" spans="2:64" ht="15" customHeight="1" x14ac:dyDescent="0.15">
      <c r="B171" s="192" t="str">
        <f>VLOOKUP(BA171,trad_termini,ID_lingua,FALSE)</f>
        <v>Grease Nipples</v>
      </c>
      <c r="C171" s="192"/>
      <c r="D171" s="76">
        <f>IFERROR(D167*VLOOKUP(D_alb_com,sopporti_dati,9,FALSE),"-")</f>
        <v>2</v>
      </c>
      <c r="E171" s="196" t="str">
        <f>IF(D171="-","-","UNI 7663 - A G1/8")</f>
        <v>UNI 7663 - A G1/8</v>
      </c>
      <c r="F171" s="196"/>
      <c r="G171" s="91"/>
      <c r="H171" s="192" t="str">
        <f>VLOOKUP(BG171,trad_termini,ID_lingua,FALSE)</f>
        <v>Grease Nipples</v>
      </c>
      <c r="I171" s="192"/>
      <c r="J171" s="76">
        <f>IFERROR(J167*VLOOKUP(D_alb_rnv,sopporti_rnv_dati,9,FALSE),"-")</f>
        <v>2</v>
      </c>
      <c r="K171" s="196" t="str">
        <f>IF(J171="-","-","UNI 7663 - A G1/8")</f>
        <v>UNI 7663 - A G1/8</v>
      </c>
      <c r="L171" s="196"/>
      <c r="N171" s="117"/>
      <c r="P171" s="118"/>
      <c r="Q171" s="118"/>
      <c r="R171" s="118"/>
      <c r="S171" s="119"/>
      <c r="Y171" s="91"/>
      <c r="Z171" s="91"/>
      <c r="AA171" s="91"/>
      <c r="AB171" s="91"/>
      <c r="AC171" s="91"/>
      <c r="AD171" s="91"/>
      <c r="AZ171" s="102">
        <v>171</v>
      </c>
      <c r="BA171" s="91">
        <v>87</v>
      </c>
      <c r="BB171" s="91" t="s">
        <v>1569</v>
      </c>
      <c r="BC171" s="91" t="s">
        <v>1569</v>
      </c>
      <c r="BD171" s="91" t="s">
        <v>1569</v>
      </c>
      <c r="BE171" s="91" t="s">
        <v>1569</v>
      </c>
      <c r="BF171" s="91" t="s">
        <v>1569</v>
      </c>
      <c r="BG171" s="91">
        <v>87</v>
      </c>
      <c r="BH171" s="91" t="s">
        <v>1569</v>
      </c>
      <c r="BI171" s="91" t="s">
        <v>1569</v>
      </c>
      <c r="BJ171" s="91" t="s">
        <v>1569</v>
      </c>
      <c r="BK171" s="91" t="s">
        <v>1569</v>
      </c>
      <c r="BL171" s="102"/>
    </row>
    <row r="172" spans="2:64" ht="15" customHeight="1" x14ac:dyDescent="0.15">
      <c r="B172" s="172" t="s">
        <v>1214</v>
      </c>
      <c r="D172" s="147"/>
      <c r="E172" s="147"/>
      <c r="F172" s="147"/>
      <c r="G172" s="91"/>
      <c r="J172" s="147"/>
      <c r="K172" s="147"/>
      <c r="L172" s="147"/>
      <c r="N172" s="117"/>
      <c r="P172" s="118"/>
      <c r="Q172" s="118"/>
      <c r="R172" s="118"/>
      <c r="S172" s="119"/>
      <c r="Y172" s="91"/>
      <c r="Z172" s="91"/>
      <c r="AA172" s="91"/>
      <c r="AB172" s="91"/>
      <c r="AC172" s="91"/>
      <c r="AD172" s="91"/>
      <c r="AZ172" s="102">
        <v>172</v>
      </c>
      <c r="BA172" s="91">
        <v>1</v>
      </c>
      <c r="BB172" s="91" t="s">
        <v>1569</v>
      </c>
      <c r="BC172" s="91" t="s">
        <v>1569</v>
      </c>
      <c r="BD172" s="91" t="s">
        <v>1569</v>
      </c>
      <c r="BE172" s="91" t="s">
        <v>1569</v>
      </c>
      <c r="BF172" s="91" t="s">
        <v>1569</v>
      </c>
      <c r="BG172" s="91" t="s">
        <v>1569</v>
      </c>
      <c r="BH172" s="91" t="s">
        <v>1569</v>
      </c>
      <c r="BI172" s="91" t="s">
        <v>1569</v>
      </c>
      <c r="BJ172" s="91" t="s">
        <v>1569</v>
      </c>
      <c r="BK172" s="91" t="s">
        <v>1569</v>
      </c>
      <c r="BL172" s="102"/>
    </row>
    <row r="173" spans="2:64" ht="15" customHeight="1" x14ac:dyDescent="0.15">
      <c r="D173" s="106"/>
      <c r="E173" s="106"/>
      <c r="F173" s="106"/>
      <c r="G173" s="91"/>
      <c r="J173" s="106"/>
      <c r="K173" s="106"/>
      <c r="L173" s="106"/>
      <c r="N173" s="117"/>
      <c r="P173" s="118"/>
      <c r="Q173" s="118"/>
      <c r="R173" s="118"/>
      <c r="S173" s="119"/>
      <c r="Y173" s="91"/>
      <c r="Z173" s="91"/>
      <c r="AA173" s="91"/>
      <c r="AB173" s="91"/>
      <c r="AC173" s="91"/>
      <c r="AD173" s="91"/>
      <c r="AZ173" s="102">
        <v>173</v>
      </c>
      <c r="BA173" s="91" t="s">
        <v>1569</v>
      </c>
      <c r="BB173" s="91" t="s">
        <v>1569</v>
      </c>
      <c r="BC173" s="91" t="s">
        <v>1569</v>
      </c>
      <c r="BD173" s="91" t="s">
        <v>1569</v>
      </c>
      <c r="BE173" s="91" t="s">
        <v>1569</v>
      </c>
      <c r="BF173" s="91" t="s">
        <v>1569</v>
      </c>
      <c r="BG173" s="91" t="s">
        <v>1569</v>
      </c>
      <c r="BH173" s="91" t="s">
        <v>1569</v>
      </c>
      <c r="BI173" s="91" t="s">
        <v>1569</v>
      </c>
      <c r="BJ173" s="91" t="s">
        <v>1569</v>
      </c>
      <c r="BK173" s="91" t="s">
        <v>1569</v>
      </c>
      <c r="BL173" s="102"/>
    </row>
    <row r="174" spans="2:64" ht="15" customHeight="1" x14ac:dyDescent="0.15">
      <c r="B174" s="149" t="str">
        <f>VLOOKUP(BA174,trad_termini,ID_lingua,FALSE)</f>
        <v>Fasteners</v>
      </c>
      <c r="C174" s="94" t="str">
        <f>VLOOKUP(BB174,trad_termini,ID_lingua,FALSE)</f>
        <v>Screw</v>
      </c>
      <c r="D174" s="76">
        <f>2*VLOOKUP(D_alb_com,bulloneria_sopp,12,FALSE)</f>
        <v>16</v>
      </c>
      <c r="E174" s="198" t="str">
        <f>CONCATENATE("UNI 5931-M16x",VLOOKUP(D_alb_com,bulloneria_sopp,VLOOKUP(mod_base,macchina_pos,2,FALSE),FALSE),"-8.8")</f>
        <v>UNI 5931-M16x150-8.8</v>
      </c>
      <c r="F174" s="196"/>
      <c r="G174" s="91"/>
      <c r="H174" s="149" t="str">
        <f>VLOOKUP(BG174,trad_termini,ID_lingua,FALSE)</f>
        <v>Fasteners</v>
      </c>
      <c r="I174" s="94" t="str">
        <f>VLOOKUP(BH174,trad_termini,ID_lingua,FALSE)</f>
        <v>Screw</v>
      </c>
      <c r="J174" s="76">
        <f>IF(D_alb_rnv=70,8,12)*2</f>
        <v>16</v>
      </c>
      <c r="K174" s="196" t="str">
        <f>IF(D_alb_rnv=70,"UNI 5931-M12x80-8.8","UNI 5931-M12x100-8.8")</f>
        <v>UNI 5931-M12x80-8.8</v>
      </c>
      <c r="L174" s="196"/>
      <c r="N174" s="117"/>
      <c r="P174" s="118"/>
      <c r="Q174" s="118"/>
      <c r="R174" s="118"/>
      <c r="S174" s="119"/>
      <c r="Y174" s="91"/>
      <c r="Z174" s="91"/>
      <c r="AA174" s="91"/>
      <c r="AB174" s="91"/>
      <c r="AC174" s="91"/>
      <c r="AD174" s="91"/>
      <c r="AZ174" s="102">
        <v>174</v>
      </c>
      <c r="BA174" s="91">
        <v>68</v>
      </c>
      <c r="BB174" s="91">
        <v>178</v>
      </c>
      <c r="BC174" s="91" t="s">
        <v>1569</v>
      </c>
      <c r="BD174" s="91" t="s">
        <v>1569</v>
      </c>
      <c r="BE174" s="91" t="s">
        <v>1569</v>
      </c>
      <c r="BF174" s="91" t="s">
        <v>1569</v>
      </c>
      <c r="BG174" s="91">
        <v>68</v>
      </c>
      <c r="BH174" s="91">
        <v>178</v>
      </c>
      <c r="BI174" s="91" t="s">
        <v>1569</v>
      </c>
      <c r="BJ174" s="91" t="s">
        <v>1569</v>
      </c>
      <c r="BK174" s="91" t="s">
        <v>1569</v>
      </c>
      <c r="BL174" s="102"/>
    </row>
    <row r="175" spans="2:64" ht="15" customHeight="1" x14ac:dyDescent="0.15">
      <c r="C175" s="94" t="str">
        <f>VLOOKUP(BB175,trad_termini,ID_lingua,FALSE)</f>
        <v>Plain Washer</v>
      </c>
      <c r="D175" s="76">
        <f>2*VLOOKUP(D_alb_com,bulloneria_sopp,12,FALSE)</f>
        <v>16</v>
      </c>
      <c r="E175" s="196" t="str">
        <f>VLOOKUP(D_alb_com,bulloneria_sopp,10,FALSE)</f>
        <v>UNI 6592 - 17x30</v>
      </c>
      <c r="F175" s="196"/>
      <c r="G175" s="91"/>
      <c r="J175" s="91"/>
      <c r="K175" s="91"/>
      <c r="L175" s="91"/>
      <c r="N175" s="117"/>
      <c r="P175" s="118"/>
      <c r="Q175" s="118"/>
      <c r="R175" s="118"/>
      <c r="S175" s="119"/>
      <c r="Y175" s="91"/>
      <c r="Z175" s="91"/>
      <c r="AA175" s="91"/>
      <c r="AB175" s="91"/>
      <c r="AC175" s="91"/>
      <c r="AD175" s="91"/>
      <c r="AZ175" s="102">
        <v>175</v>
      </c>
      <c r="BA175" s="91" t="s">
        <v>1569</v>
      </c>
      <c r="BB175" s="91">
        <v>143</v>
      </c>
      <c r="BC175" s="91" t="s">
        <v>1569</v>
      </c>
      <c r="BD175" s="91" t="s">
        <v>1569</v>
      </c>
      <c r="BE175" s="91" t="s">
        <v>1569</v>
      </c>
      <c r="BF175" s="91" t="s">
        <v>1569</v>
      </c>
      <c r="BG175" s="91" t="s">
        <v>1569</v>
      </c>
      <c r="BH175" s="91" t="s">
        <v>1569</v>
      </c>
      <c r="BI175" s="91" t="s">
        <v>1569</v>
      </c>
      <c r="BJ175" s="91" t="s">
        <v>1569</v>
      </c>
      <c r="BK175" s="91" t="s">
        <v>1569</v>
      </c>
      <c r="BL175" s="102"/>
    </row>
    <row r="176" spans="2:64" ht="15" customHeight="1" x14ac:dyDescent="0.15">
      <c r="C176" s="94" t="str">
        <f>VLOOKUP(BB176,trad_termini,ID_lingua,FALSE)</f>
        <v>Nut</v>
      </c>
      <c r="D176" s="76">
        <f>2*VLOOKUP(D_alb_com,bulloneria_sopp,12,FALSE)</f>
        <v>16</v>
      </c>
      <c r="E176" s="196" t="str">
        <f>VLOOKUP(D_alb_com,bulloneria_sopp,11,FALSE)</f>
        <v>UNI 7473-M16-8</v>
      </c>
      <c r="F176" s="196"/>
      <c r="G176" s="91"/>
      <c r="J176" s="91"/>
      <c r="K176" s="91"/>
      <c r="L176" s="91"/>
      <c r="N176" s="117"/>
      <c r="P176" s="118"/>
      <c r="Q176" s="118"/>
      <c r="R176" s="118"/>
      <c r="S176" s="119"/>
      <c r="Y176" s="91"/>
      <c r="Z176" s="91"/>
      <c r="AA176" s="91"/>
      <c r="AB176" s="91"/>
      <c r="AC176" s="91"/>
      <c r="AD176" s="91"/>
      <c r="AZ176" s="102">
        <v>176</v>
      </c>
      <c r="BA176" s="91" t="s">
        <v>1569</v>
      </c>
      <c r="BB176" s="91">
        <v>46</v>
      </c>
      <c r="BC176" s="91" t="s">
        <v>1569</v>
      </c>
      <c r="BD176" s="91" t="s">
        <v>1569</v>
      </c>
      <c r="BE176" s="91" t="s">
        <v>1569</v>
      </c>
      <c r="BF176" s="91" t="s">
        <v>1569</v>
      </c>
      <c r="BG176" s="91" t="s">
        <v>1569</v>
      </c>
      <c r="BH176" s="91" t="s">
        <v>1569</v>
      </c>
      <c r="BI176" s="91" t="s">
        <v>1569</v>
      </c>
      <c r="BJ176" s="91" t="s">
        <v>1569</v>
      </c>
      <c r="BK176" s="91" t="s">
        <v>1569</v>
      </c>
      <c r="BL176" s="102"/>
    </row>
    <row r="177" spans="2:64" ht="15" customHeight="1" x14ac:dyDescent="0.15">
      <c r="D177" s="91"/>
      <c r="E177" s="91"/>
      <c r="F177" s="91"/>
      <c r="G177" s="91"/>
      <c r="H177" s="91"/>
      <c r="I177" s="91"/>
      <c r="J177" s="91"/>
      <c r="K177" s="91"/>
      <c r="L177" s="91"/>
      <c r="N177" s="117"/>
      <c r="P177" s="118"/>
      <c r="Q177" s="118"/>
      <c r="R177" s="118"/>
      <c r="S177" s="119"/>
      <c r="Y177" s="91"/>
      <c r="Z177" s="91"/>
      <c r="AA177" s="91"/>
      <c r="AB177" s="91"/>
      <c r="AC177" s="91"/>
      <c r="AD177" s="91"/>
      <c r="AZ177" s="102">
        <v>177</v>
      </c>
      <c r="BA177" s="91" t="s">
        <v>1569</v>
      </c>
      <c r="BB177" s="91" t="s">
        <v>1569</v>
      </c>
      <c r="BC177" s="91" t="s">
        <v>1569</v>
      </c>
      <c r="BD177" s="91" t="s">
        <v>1569</v>
      </c>
      <c r="BE177" s="91" t="s">
        <v>1569</v>
      </c>
      <c r="BF177" s="91" t="s">
        <v>1569</v>
      </c>
      <c r="BG177" s="91" t="s">
        <v>1569</v>
      </c>
      <c r="BH177" s="91" t="s">
        <v>1569</v>
      </c>
      <c r="BI177" s="91" t="s">
        <v>1569</v>
      </c>
      <c r="BJ177" s="91" t="s">
        <v>1569</v>
      </c>
      <c r="BK177" s="91" t="s">
        <v>1569</v>
      </c>
      <c r="BL177" s="102"/>
    </row>
    <row r="178" spans="2:64" ht="15" customHeight="1" x14ac:dyDescent="0.15">
      <c r="C178" s="94" t="str">
        <f>VLOOKUP(BB178,trad_termini,ID_lingua,FALSE)</f>
        <v>Grease</v>
      </c>
      <c r="D178" s="76">
        <f>IFERROR(2*VLOOKUP(D_alb_com,sopporti_dati,10,FALSE),"-")</f>
        <v>2970</v>
      </c>
      <c r="E178" s="93" t="s">
        <v>325</v>
      </c>
      <c r="F178" s="91"/>
      <c r="G178" s="91"/>
      <c r="H178" s="91"/>
      <c r="I178" s="94" t="str">
        <f>VLOOKUP(BH178,trad_termini,ID_lingua,FALSE)</f>
        <v>Grease</v>
      </c>
      <c r="J178" s="76">
        <f>IFERROR(2*VLOOKUP(D_alb_rnv,sopporti_rnv_dati,10,FALSE),"-")</f>
        <v>460</v>
      </c>
      <c r="K178" s="93" t="s">
        <v>325</v>
      </c>
      <c r="L178" s="91"/>
      <c r="N178" s="117"/>
      <c r="P178" s="118"/>
      <c r="Q178" s="118"/>
      <c r="R178" s="118"/>
      <c r="S178" s="119"/>
      <c r="Y178" s="91"/>
      <c r="Z178" s="91"/>
      <c r="AA178" s="91"/>
      <c r="AB178" s="91"/>
      <c r="AC178" s="91"/>
      <c r="AD178" s="91"/>
      <c r="AZ178" s="102">
        <v>178</v>
      </c>
      <c r="BA178" s="91" t="s">
        <v>1569</v>
      </c>
      <c r="BB178" s="91">
        <v>79</v>
      </c>
      <c r="BC178" s="91" t="s">
        <v>1569</v>
      </c>
      <c r="BD178" s="91" t="s">
        <v>1569</v>
      </c>
      <c r="BE178" s="91" t="s">
        <v>1569</v>
      </c>
      <c r="BF178" s="91" t="s">
        <v>1569</v>
      </c>
      <c r="BG178" s="91" t="s">
        <v>1569</v>
      </c>
      <c r="BH178" s="91">
        <v>79</v>
      </c>
      <c r="BI178" s="91" t="s">
        <v>1569</v>
      </c>
      <c r="BJ178" s="91" t="s">
        <v>1569</v>
      </c>
      <c r="BK178" s="91" t="s">
        <v>1569</v>
      </c>
      <c r="BL178" s="102"/>
    </row>
    <row r="179" spans="2:64" ht="15" customHeight="1" x14ac:dyDescent="0.15">
      <c r="D179" s="91"/>
      <c r="E179" s="93"/>
      <c r="F179" s="91"/>
      <c r="G179" s="91"/>
      <c r="H179" s="91"/>
      <c r="J179" s="91"/>
      <c r="K179" s="93"/>
      <c r="L179" s="91"/>
      <c r="N179" s="117"/>
      <c r="P179" s="118"/>
      <c r="Q179" s="118"/>
      <c r="R179" s="118"/>
      <c r="S179" s="119"/>
      <c r="Y179" s="91"/>
      <c r="Z179" s="91"/>
      <c r="AA179" s="91"/>
      <c r="AB179" s="91"/>
      <c r="AC179" s="91"/>
      <c r="AD179" s="91"/>
      <c r="AZ179" s="102">
        <v>179</v>
      </c>
      <c r="BA179" s="91" t="s">
        <v>1569</v>
      </c>
      <c r="BB179" s="91" t="s">
        <v>1569</v>
      </c>
      <c r="BC179" s="91" t="s">
        <v>1569</v>
      </c>
      <c r="BD179" s="91" t="s">
        <v>1569</v>
      </c>
      <c r="BE179" s="91" t="s">
        <v>1569</v>
      </c>
      <c r="BF179" s="91" t="s">
        <v>1569</v>
      </c>
      <c r="BG179" s="91" t="s">
        <v>1569</v>
      </c>
      <c r="BH179" s="91" t="s">
        <v>1569</v>
      </c>
      <c r="BI179" s="91" t="s">
        <v>1569</v>
      </c>
      <c r="BJ179" s="91" t="s">
        <v>1569</v>
      </c>
      <c r="BK179" s="91" t="s">
        <v>1569</v>
      </c>
      <c r="BL179" s="102"/>
    </row>
    <row r="180" spans="2:64" ht="15" customHeight="1" x14ac:dyDescent="0.15">
      <c r="D180" s="188" t="str">
        <f>VLOOKUP(BC180,trad_termini,ID_lingua,FALSE)</f>
        <v>Grease</v>
      </c>
      <c r="E180" s="188"/>
      <c r="F180" s="188" t="str">
        <f>VLOOKUP(BE180,trad_termini,ID_lingua,FALSE)</f>
        <v>Ambient Temp.</v>
      </c>
      <c r="G180" s="188"/>
      <c r="H180" s="91" t="s">
        <v>140</v>
      </c>
      <c r="I180" s="107" t="str">
        <f>VLOOKUP(BH180,trad_termini,ID_lingua,FALSE)</f>
        <v>Qty (g)</v>
      </c>
      <c r="N180" s="117"/>
      <c r="P180" s="119"/>
      <c r="Q180" s="119"/>
      <c r="R180" s="119"/>
      <c r="S180" s="119"/>
      <c r="Y180" s="91"/>
      <c r="Z180" s="91"/>
      <c r="AA180" s="91"/>
      <c r="AB180" s="91"/>
      <c r="AC180" s="91"/>
      <c r="AD180" s="91"/>
      <c r="AZ180" s="102">
        <v>180</v>
      </c>
      <c r="BA180" s="91" t="s">
        <v>1569</v>
      </c>
      <c r="BB180" s="91" t="s">
        <v>1569</v>
      </c>
      <c r="BC180" s="91">
        <v>79</v>
      </c>
      <c r="BD180" s="91" t="s">
        <v>1569</v>
      </c>
      <c r="BE180" s="91">
        <v>161</v>
      </c>
      <c r="BF180" s="91" t="s">
        <v>1569</v>
      </c>
      <c r="BG180" s="91" t="s">
        <v>1569</v>
      </c>
      <c r="BH180" s="91">
        <v>129</v>
      </c>
      <c r="BI180" s="91" t="s">
        <v>1569</v>
      </c>
      <c r="BJ180" s="91" t="s">
        <v>1569</v>
      </c>
      <c r="BK180" s="91" t="s">
        <v>1569</v>
      </c>
      <c r="BL180" s="102"/>
    </row>
    <row r="181" spans="2:64" ht="15" customHeight="1" x14ac:dyDescent="0.15">
      <c r="B181" s="222" t="str">
        <f>VLOOKUP(BA181,trad_termini,ID_lingua,FALSE)</f>
        <v>Lubrication</v>
      </c>
      <c r="C181" s="222"/>
      <c r="D181" s="197" t="s">
        <v>767</v>
      </c>
      <c r="E181" s="197"/>
      <c r="F181" s="196" t="str">
        <f>VLOOKUP(D181,gr_dati,2,FALSE)</f>
        <v>-20 ÷ +130°C</v>
      </c>
      <c r="G181" s="196"/>
      <c r="H181" s="76" t="str">
        <f>VLOOKUP(D181,gr_dati,3,FALSE)</f>
        <v>-</v>
      </c>
      <c r="I181" s="76">
        <f>IFERROR(D178+J178,"-")</f>
        <v>3430</v>
      </c>
      <c r="N181" s="117"/>
      <c r="P181" s="119"/>
      <c r="Q181" s="119"/>
      <c r="R181" s="119"/>
      <c r="S181" s="119"/>
      <c r="Y181" s="91"/>
      <c r="Z181" s="91"/>
      <c r="AA181" s="91"/>
      <c r="AB181" s="91"/>
      <c r="AC181" s="91"/>
      <c r="AD181" s="91"/>
      <c r="AZ181" s="102">
        <v>181</v>
      </c>
      <c r="BA181" s="91">
        <v>96</v>
      </c>
      <c r="BB181" s="91" t="s">
        <v>1569</v>
      </c>
      <c r="BC181" s="91" t="s">
        <v>1569</v>
      </c>
      <c r="BD181" s="91" t="s">
        <v>1569</v>
      </c>
      <c r="BE181" s="91" t="s">
        <v>1569</v>
      </c>
      <c r="BF181" s="91" t="s">
        <v>1569</v>
      </c>
      <c r="BG181" s="91" t="s">
        <v>1569</v>
      </c>
      <c r="BH181" s="91" t="s">
        <v>1569</v>
      </c>
      <c r="BI181" s="91" t="s">
        <v>1569</v>
      </c>
      <c r="BJ181" s="91" t="s">
        <v>1569</v>
      </c>
      <c r="BK181" s="91" t="s">
        <v>1569</v>
      </c>
      <c r="BL181" s="102"/>
    </row>
    <row r="182" spans="2:64" ht="15" customHeight="1" x14ac:dyDescent="0.15">
      <c r="D182" s="91"/>
      <c r="E182" s="93"/>
      <c r="F182" s="91"/>
      <c r="G182" s="91"/>
      <c r="H182" s="91"/>
      <c r="J182" s="91"/>
      <c r="K182" s="93"/>
      <c r="L182" s="91"/>
      <c r="N182" s="117"/>
      <c r="P182" s="118"/>
      <c r="Q182" s="118"/>
      <c r="R182" s="118"/>
      <c r="S182" s="119"/>
      <c r="Y182" s="91"/>
      <c r="Z182" s="91"/>
      <c r="AA182" s="91"/>
      <c r="AB182" s="91"/>
      <c r="AC182" s="91"/>
      <c r="AD182" s="91"/>
      <c r="AZ182" s="102">
        <v>182</v>
      </c>
      <c r="BA182" s="91" t="s">
        <v>1569</v>
      </c>
      <c r="BB182" s="91" t="s">
        <v>1569</v>
      </c>
      <c r="BC182" s="91" t="s">
        <v>1569</v>
      </c>
      <c r="BD182" s="91" t="s">
        <v>1569</v>
      </c>
      <c r="BE182" s="91" t="s">
        <v>1569</v>
      </c>
      <c r="BF182" s="91" t="s">
        <v>1569</v>
      </c>
      <c r="BG182" s="91" t="s">
        <v>1569</v>
      </c>
      <c r="BH182" s="91" t="s">
        <v>1569</v>
      </c>
      <c r="BI182" s="91" t="s">
        <v>1569</v>
      </c>
      <c r="BJ182" s="91" t="s">
        <v>1569</v>
      </c>
      <c r="BK182" s="91" t="s">
        <v>1569</v>
      </c>
      <c r="BL182" s="102"/>
    </row>
    <row r="183" spans="2:64" ht="15" customHeight="1" x14ac:dyDescent="0.15">
      <c r="D183" s="107" t="str">
        <f>VLOOKUP(BC183,trad_termini,ID_lingua,FALSE)</f>
        <v>Qty</v>
      </c>
      <c r="E183" s="188" t="str">
        <f>VLOOKUP(BD183,trad_termini,ID_lingua,FALSE)</f>
        <v>Type</v>
      </c>
      <c r="F183" s="188"/>
      <c r="G183" s="91"/>
      <c r="H183" s="91"/>
      <c r="I183" s="91"/>
      <c r="J183" s="91"/>
      <c r="K183" s="91"/>
      <c r="L183" s="91"/>
      <c r="N183" s="117"/>
      <c r="P183" s="118"/>
      <c r="Q183" s="118"/>
      <c r="R183" s="118"/>
      <c r="S183" s="119"/>
      <c r="Y183" s="91"/>
      <c r="Z183" s="91"/>
      <c r="AA183" s="91"/>
      <c r="AB183" s="91"/>
      <c r="AC183" s="91"/>
      <c r="AD183" s="91"/>
      <c r="AZ183" s="102">
        <v>183</v>
      </c>
      <c r="BA183" s="91" t="s">
        <v>1569</v>
      </c>
      <c r="BB183" s="91" t="s">
        <v>1569</v>
      </c>
      <c r="BC183" s="91">
        <v>128</v>
      </c>
      <c r="BD183" s="91">
        <v>168</v>
      </c>
      <c r="BE183" s="91" t="s">
        <v>1569</v>
      </c>
      <c r="BF183" s="91" t="s">
        <v>1569</v>
      </c>
      <c r="BG183" s="91" t="s">
        <v>1569</v>
      </c>
      <c r="BH183" s="91" t="s">
        <v>1569</v>
      </c>
      <c r="BI183" s="91" t="s">
        <v>1569</v>
      </c>
      <c r="BJ183" s="91" t="s">
        <v>1569</v>
      </c>
      <c r="BK183" s="91" t="s">
        <v>1569</v>
      </c>
      <c r="BL183" s="102"/>
    </row>
    <row r="184" spans="2:64" ht="15" customHeight="1" x14ac:dyDescent="0.15">
      <c r="B184" s="222" t="str">
        <f>VLOOKUP(BA184,trad_termini,ID_lingua,FALSE)</f>
        <v>Clogging Detection Flap</v>
      </c>
      <c r="C184" s="222"/>
      <c r="D184" s="76">
        <v>2</v>
      </c>
      <c r="E184" s="184" t="str">
        <f>IF(D184&gt;0,"SBPF204","-")</f>
        <v>SBPF204</v>
      </c>
      <c r="F184" s="185"/>
      <c r="G184" s="91"/>
      <c r="H184" s="91"/>
      <c r="I184" s="91"/>
      <c r="J184" s="91"/>
      <c r="K184" s="91"/>
      <c r="L184" s="91"/>
      <c r="N184" s="117"/>
      <c r="P184" s="118"/>
      <c r="Q184" s="118"/>
      <c r="R184" s="118"/>
      <c r="S184" s="119"/>
      <c r="Y184" s="91"/>
      <c r="Z184" s="91"/>
      <c r="AA184" s="91"/>
      <c r="AB184" s="91"/>
      <c r="AC184" s="91"/>
      <c r="AD184" s="91"/>
      <c r="AZ184" s="102">
        <v>184</v>
      </c>
      <c r="BA184" s="91">
        <v>116</v>
      </c>
      <c r="BB184" s="91" t="s">
        <v>1569</v>
      </c>
      <c r="BC184" s="91" t="s">
        <v>1569</v>
      </c>
      <c r="BD184" s="91" t="s">
        <v>1569</v>
      </c>
      <c r="BE184" s="91" t="s">
        <v>1569</v>
      </c>
      <c r="BF184" s="91" t="s">
        <v>1569</v>
      </c>
      <c r="BG184" s="91" t="s">
        <v>1569</v>
      </c>
      <c r="BH184" s="91" t="s">
        <v>1569</v>
      </c>
      <c r="BI184" s="91" t="s">
        <v>1569</v>
      </c>
      <c r="BJ184" s="91" t="s">
        <v>1569</v>
      </c>
      <c r="BK184" s="91" t="s">
        <v>1569</v>
      </c>
      <c r="BL184" s="102"/>
    </row>
    <row r="185" spans="2:64" ht="15" customHeight="1" x14ac:dyDescent="0.15">
      <c r="D185" s="91"/>
      <c r="E185" s="91"/>
      <c r="F185" s="91"/>
      <c r="G185" s="91"/>
      <c r="H185" s="91"/>
      <c r="I185" s="91"/>
      <c r="J185" s="91"/>
      <c r="K185" s="91"/>
      <c r="L185" s="91"/>
      <c r="N185" s="117"/>
      <c r="P185" s="118"/>
      <c r="Q185" s="118"/>
      <c r="R185" s="118"/>
      <c r="S185" s="119"/>
      <c r="Y185" s="91"/>
      <c r="Z185" s="91"/>
      <c r="AA185" s="91"/>
      <c r="AB185" s="91"/>
      <c r="AC185" s="91"/>
      <c r="AD185" s="91"/>
      <c r="AZ185" s="102">
        <v>185</v>
      </c>
      <c r="BA185" s="91" t="s">
        <v>1569</v>
      </c>
      <c r="BB185" s="91" t="s">
        <v>1569</v>
      </c>
      <c r="BC185" s="91" t="s">
        <v>1569</v>
      </c>
      <c r="BD185" s="91" t="s">
        <v>1569</v>
      </c>
      <c r="BE185" s="91" t="s">
        <v>1569</v>
      </c>
      <c r="BF185" s="91" t="s">
        <v>1569</v>
      </c>
      <c r="BG185" s="91" t="s">
        <v>1569</v>
      </c>
      <c r="BH185" s="91" t="s">
        <v>1569</v>
      </c>
      <c r="BI185" s="91" t="s">
        <v>1569</v>
      </c>
      <c r="BJ185" s="91" t="s">
        <v>1569</v>
      </c>
      <c r="BK185" s="91" t="s">
        <v>1569</v>
      </c>
      <c r="BL185" s="102"/>
    </row>
    <row r="186" spans="2:64" ht="15" customHeight="1" x14ac:dyDescent="0.15">
      <c r="B186" s="142" t="str">
        <f>VLOOKUP(BA186,trad_termini,ID_lingua,FALSE)</f>
        <v>Shafts</v>
      </c>
      <c r="D186" s="91"/>
      <c r="E186" s="91"/>
      <c r="F186" s="106" t="s">
        <v>469</v>
      </c>
      <c r="H186" s="91"/>
      <c r="I186" s="91"/>
      <c r="J186" s="91"/>
      <c r="K186" s="91"/>
      <c r="L186" s="91"/>
      <c r="N186" s="117"/>
      <c r="P186" s="118"/>
      <c r="Q186" s="118"/>
      <c r="R186" s="118"/>
      <c r="S186" s="119"/>
      <c r="Y186" s="91"/>
      <c r="Z186" s="91"/>
      <c r="AA186" s="91"/>
      <c r="AB186" s="91"/>
      <c r="AC186" s="91"/>
      <c r="AD186" s="91"/>
      <c r="AZ186" s="102">
        <v>186</v>
      </c>
      <c r="BA186" s="91">
        <v>5</v>
      </c>
      <c r="BB186" s="91" t="s">
        <v>1569</v>
      </c>
      <c r="BC186" s="91" t="s">
        <v>1569</v>
      </c>
      <c r="BD186" s="91" t="s">
        <v>1569</v>
      </c>
      <c r="BE186" s="91" t="s">
        <v>1569</v>
      </c>
      <c r="BF186" s="91" t="s">
        <v>1569</v>
      </c>
      <c r="BG186" s="91" t="s">
        <v>1569</v>
      </c>
      <c r="BH186" s="91" t="s">
        <v>1569</v>
      </c>
      <c r="BI186" s="91" t="s">
        <v>1569</v>
      </c>
      <c r="BJ186" s="91" t="s">
        <v>1569</v>
      </c>
      <c r="BK186" s="91" t="s">
        <v>1569</v>
      </c>
      <c r="BL186" s="102"/>
    </row>
    <row r="187" spans="2:64" ht="15" customHeight="1" x14ac:dyDescent="0.15">
      <c r="C187" s="107" t="str">
        <f>VLOOKUP(BB187,trad_termini,ID_lingua,FALSE)</f>
        <v>Qty</v>
      </c>
      <c r="D187" s="188" t="str">
        <f>VLOOKUP(BC187,trad_termini,ID_lingua,FALSE)</f>
        <v>Drawing</v>
      </c>
      <c r="E187" s="188"/>
      <c r="F187" s="91" t="str">
        <f>VLOOKUP(BE187,trad_termini,ID_lingua,FALSE)</f>
        <v>Bearing Assemblies</v>
      </c>
      <c r="G187" s="91"/>
      <c r="H187" s="91"/>
      <c r="I187" s="91"/>
      <c r="J187" s="91"/>
      <c r="K187" s="91"/>
      <c r="L187" s="91"/>
      <c r="N187" s="117"/>
      <c r="P187" s="118"/>
      <c r="Q187" s="118"/>
      <c r="R187" s="118"/>
      <c r="S187" s="119"/>
      <c r="Y187" s="183" t="s">
        <v>457</v>
      </c>
      <c r="Z187" s="183"/>
      <c r="AA187" s="183" t="s">
        <v>459</v>
      </c>
      <c r="AB187" s="183"/>
      <c r="AC187" s="183" t="s">
        <v>460</v>
      </c>
      <c r="AD187" s="183"/>
      <c r="AZ187" s="102">
        <v>187</v>
      </c>
      <c r="BA187" s="91" t="s">
        <v>1569</v>
      </c>
      <c r="BB187" s="91">
        <v>128</v>
      </c>
      <c r="BC187" s="91">
        <v>57</v>
      </c>
      <c r="BD187" s="91" t="s">
        <v>1569</v>
      </c>
      <c r="BE187" s="91">
        <v>151</v>
      </c>
      <c r="BF187" s="91" t="s">
        <v>1569</v>
      </c>
      <c r="BG187" s="91" t="s">
        <v>1569</v>
      </c>
      <c r="BH187" s="91" t="s">
        <v>1569</v>
      </c>
      <c r="BI187" s="91" t="s">
        <v>1569</v>
      </c>
      <c r="BJ187" s="91" t="s">
        <v>1569</v>
      </c>
      <c r="BK187" s="91" t="s">
        <v>1569</v>
      </c>
      <c r="BL187" s="102"/>
    </row>
    <row r="188" spans="2:64" ht="15" customHeight="1" x14ac:dyDescent="0.15">
      <c r="B188" s="24" t="str">
        <f>VLOOKUP(BA188,trad_termini,ID_lingua,FALSE)</f>
        <v>Driving Head</v>
      </c>
      <c r="C188" s="76">
        <f>C90</f>
        <v>1</v>
      </c>
      <c r="D188" s="198" t="str">
        <f>IF(LEFT(mrid,1)="K",CONCATENATE(IF(W_cassa&lt;=40,"014",VLOOKUP(mod_base,macchina_dati,2,FALSE)),".",macchina_W,".11.",TEXT(mrid_qt,"00"),".",RIGHT(D_alb_com,2),".",TEXT(VLOOKUP(mrid,mrid_dati,2,FALSE),"00")),IF(LEFT(mrid,1)="R",CONCATENATE(VLOOKUP(mod_base,macchina_dati,2,FALSE),".",macchina_W,".11.","03.",RIGHT(D_alb_com,2),".01"),"* N/A *"))</f>
        <v>014.40.11.02.35.14</v>
      </c>
      <c r="E188" s="196"/>
      <c r="F188" s="76">
        <f>D_alb_com</f>
        <v>135</v>
      </c>
      <c r="G188" s="162"/>
      <c r="I188" s="91"/>
      <c r="J188" s="91"/>
      <c r="K188" s="91"/>
      <c r="L188" s="91"/>
      <c r="N188" s="124" t="str">
        <f>IF(D188="* N/A *",VLOOKUP(BL188,trad_termini,ID_lingua,FALSE),"")</f>
        <v/>
      </c>
      <c r="P188" s="118"/>
      <c r="Q188" s="118"/>
      <c r="R188" s="118"/>
      <c r="S188" s="119"/>
      <c r="Y188" s="184"/>
      <c r="Z188" s="185"/>
      <c r="AA188" s="184"/>
      <c r="AB188" s="185"/>
      <c r="AC188" s="184"/>
      <c r="AD188" s="185"/>
      <c r="AZ188" s="102">
        <v>188</v>
      </c>
      <c r="BA188" s="91">
        <v>26</v>
      </c>
      <c r="BB188" s="91" t="s">
        <v>1569</v>
      </c>
      <c r="BC188" s="91" t="s">
        <v>1569</v>
      </c>
      <c r="BD188" s="91" t="s">
        <v>1569</v>
      </c>
      <c r="BE188" s="91" t="s">
        <v>1569</v>
      </c>
      <c r="BF188" s="91" t="s">
        <v>1569</v>
      </c>
      <c r="BG188" s="91" t="s">
        <v>1569</v>
      </c>
      <c r="BH188" s="91" t="s">
        <v>1569</v>
      </c>
      <c r="BI188" s="91" t="s">
        <v>1569</v>
      </c>
      <c r="BJ188" s="91" t="s">
        <v>1569</v>
      </c>
      <c r="BK188" s="91" t="s">
        <v>1569</v>
      </c>
      <c r="BL188" s="102" t="s">
        <v>1967</v>
      </c>
    </row>
    <row r="189" spans="2:64" ht="15" customHeight="1" x14ac:dyDescent="0.15">
      <c r="B189" s="24" t="str">
        <f>VLOOKUP(BA189,trad_termini,ID_lingua,FALSE)</f>
        <v>Return Head</v>
      </c>
      <c r="C189" s="76">
        <f>C92</f>
        <v>1</v>
      </c>
      <c r="D189" s="196" t="str">
        <f>IF(flg_rnv_mot=0,VLOOKUP(mod_base,rinvio_dati,11,FALSE),VLOOKUP(mod_base,rinvio_dati,24,FALSE))</f>
        <v>014.40.12.00.07.00</v>
      </c>
      <c r="E189" s="196"/>
      <c r="F189" s="76">
        <f>VLOOKUP(mod_base,rinvio_dati,10,FALSE)</f>
        <v>70</v>
      </c>
      <c r="G189" s="162"/>
      <c r="H189" s="91"/>
      <c r="I189" s="91"/>
      <c r="J189" s="91"/>
      <c r="K189" s="91"/>
      <c r="L189" s="91"/>
      <c r="N189" s="117"/>
      <c r="P189" s="118"/>
      <c r="Q189" s="118"/>
      <c r="R189" s="118"/>
      <c r="S189" s="119"/>
      <c r="Y189" s="91"/>
      <c r="Z189" s="91"/>
      <c r="AA189" s="91"/>
      <c r="AB189" s="91"/>
      <c r="AC189" s="91"/>
      <c r="AD189" s="91"/>
      <c r="AZ189" s="102">
        <v>189</v>
      </c>
      <c r="BA189" s="91">
        <v>138</v>
      </c>
      <c r="BB189" s="91" t="s">
        <v>1569</v>
      </c>
      <c r="BC189" s="91" t="s">
        <v>1569</v>
      </c>
      <c r="BD189" s="91" t="s">
        <v>1569</v>
      </c>
      <c r="BE189" s="91" t="s">
        <v>1569</v>
      </c>
      <c r="BF189" s="91" t="s">
        <v>1569</v>
      </c>
      <c r="BG189" s="91" t="s">
        <v>1569</v>
      </c>
      <c r="BH189" s="91" t="s">
        <v>1569</v>
      </c>
      <c r="BI189" s="91" t="s">
        <v>1569</v>
      </c>
      <c r="BJ189" s="91" t="s">
        <v>1569</v>
      </c>
      <c r="BK189" s="91" t="s">
        <v>1569</v>
      </c>
      <c r="BL189" s="102"/>
    </row>
    <row r="190" spans="2:64" ht="15" customHeight="1" x14ac:dyDescent="0.15">
      <c r="D190" s="91"/>
      <c r="E190" s="91"/>
      <c r="F190" s="91"/>
      <c r="G190" s="91"/>
      <c r="H190" s="91"/>
      <c r="I190" s="91"/>
      <c r="J190" s="91"/>
      <c r="K190" s="91"/>
      <c r="L190" s="91"/>
      <c r="N190" s="117"/>
      <c r="P190" s="118"/>
      <c r="Q190" s="118"/>
      <c r="R190" s="118"/>
      <c r="S190" s="119"/>
      <c r="Y190" s="91"/>
      <c r="Z190" s="91"/>
      <c r="AA190" s="91"/>
      <c r="AB190" s="91"/>
      <c r="AC190" s="91"/>
      <c r="AD190" s="91"/>
      <c r="AZ190" s="102">
        <v>190</v>
      </c>
      <c r="BA190" s="91" t="s">
        <v>1569</v>
      </c>
      <c r="BB190" s="91" t="s">
        <v>1569</v>
      </c>
      <c r="BC190" s="91" t="s">
        <v>1569</v>
      </c>
      <c r="BD190" s="91" t="s">
        <v>1569</v>
      </c>
      <c r="BE190" s="91" t="s">
        <v>1569</v>
      </c>
      <c r="BF190" s="91" t="s">
        <v>1569</v>
      </c>
      <c r="BG190" s="91" t="s">
        <v>1569</v>
      </c>
      <c r="BH190" s="91" t="s">
        <v>1569</v>
      </c>
      <c r="BI190" s="91" t="s">
        <v>1569</v>
      </c>
      <c r="BJ190" s="91" t="s">
        <v>1569</v>
      </c>
      <c r="BK190" s="91" t="s">
        <v>1569</v>
      </c>
      <c r="BL190" s="102"/>
    </row>
    <row r="191" spans="2:64" ht="15" customHeight="1" x14ac:dyDescent="0.15">
      <c r="E191" s="91"/>
      <c r="F191" s="91"/>
      <c r="G191" s="91"/>
      <c r="H191" s="91"/>
      <c r="I191" s="91"/>
      <c r="J191" s="91"/>
      <c r="K191" s="91"/>
      <c r="L191" s="91"/>
      <c r="N191" s="117"/>
      <c r="P191" s="118"/>
      <c r="Q191" s="118"/>
      <c r="R191" s="118"/>
      <c r="S191" s="119"/>
      <c r="Z191" s="91"/>
      <c r="AA191" s="91"/>
      <c r="AB191" s="91"/>
      <c r="AC191" s="91"/>
      <c r="AD191" s="91"/>
      <c r="AZ191" s="102">
        <v>191</v>
      </c>
      <c r="BA191" s="91" t="s">
        <v>1569</v>
      </c>
      <c r="BB191" s="91" t="s">
        <v>1569</v>
      </c>
      <c r="BC191" s="91" t="s">
        <v>1569</v>
      </c>
      <c r="BD191" s="91" t="s">
        <v>1569</v>
      </c>
      <c r="BE191" s="91" t="s">
        <v>1569</v>
      </c>
      <c r="BF191" s="91" t="s">
        <v>1569</v>
      </c>
      <c r="BG191" s="91" t="s">
        <v>1569</v>
      </c>
      <c r="BH191" s="91" t="s">
        <v>1569</v>
      </c>
      <c r="BI191" s="91" t="s">
        <v>1569</v>
      </c>
      <c r="BJ191" s="91" t="s">
        <v>1569</v>
      </c>
      <c r="BK191" s="91" t="s">
        <v>1569</v>
      </c>
      <c r="BL191" s="102"/>
    </row>
    <row r="192" spans="2:64" ht="15" customHeight="1" x14ac:dyDescent="0.15">
      <c r="B192" s="142" t="str">
        <f>VLOOKUP(BA192,trad_termini,ID_lingua,FALSE)</f>
        <v>Keys</v>
      </c>
      <c r="D192" s="107" t="str">
        <f>VLOOKUP(BC192,trad_termini,ID_lingua,FALSE)</f>
        <v>Qty</v>
      </c>
      <c r="E192" s="188" t="str">
        <f>VLOOKUP(BD192,trad_termini,ID_lingua,FALSE)</f>
        <v>Type</v>
      </c>
      <c r="F192" s="188"/>
      <c r="H192" s="91"/>
      <c r="I192" s="91"/>
      <c r="J192" s="91"/>
      <c r="K192" s="91"/>
      <c r="L192" s="91"/>
      <c r="N192" s="117"/>
      <c r="P192" s="118"/>
      <c r="Q192" s="118"/>
      <c r="R192" s="118"/>
      <c r="S192" s="119"/>
      <c r="Y192" s="93"/>
      <c r="Z192" s="91"/>
      <c r="AA192" s="91"/>
      <c r="AB192" s="91"/>
      <c r="AC192" s="91"/>
      <c r="AD192" s="91"/>
      <c r="AZ192" s="102">
        <v>192</v>
      </c>
      <c r="BA192" s="91">
        <v>95</v>
      </c>
      <c r="BB192" s="91" t="s">
        <v>1569</v>
      </c>
      <c r="BC192" s="91">
        <v>128</v>
      </c>
      <c r="BD192" s="91">
        <v>168</v>
      </c>
      <c r="BE192" s="91" t="s">
        <v>1569</v>
      </c>
      <c r="BF192" s="91" t="s">
        <v>1569</v>
      </c>
      <c r="BG192" s="91" t="s">
        <v>1569</v>
      </c>
      <c r="BH192" s="91" t="s">
        <v>1569</v>
      </c>
      <c r="BI192" s="91" t="s">
        <v>1569</v>
      </c>
      <c r="BJ192" s="91" t="s">
        <v>1569</v>
      </c>
      <c r="BK192" s="91" t="s">
        <v>1569</v>
      </c>
      <c r="BL192" s="102"/>
    </row>
    <row r="193" spans="2:64" ht="15" customHeight="1" x14ac:dyDescent="0.15">
      <c r="B193" s="24" t="str">
        <f>VLOOKUP(BA193,trad_termini,ID_lingua,FALSE)</f>
        <v>Chain Drive</v>
      </c>
      <c r="D193" s="76" t="str">
        <f>IF(LEFT(mrid,1)="R",2,IF(LEFT(mrid,2)="KA",1*mrid_qt,"-"))</f>
        <v>-</v>
      </c>
      <c r="E193" s="184" t="str">
        <f>IFERROR(IF(LEFT(mrid,1)="R",VLOOKUP(D_alb_com,sopporti_dati,13,FALSE),IF(LEFT(mrid,2)="KA",VLOOKUP(mrid,mrid_dati,6,FALSE),"-")),"-")</f>
        <v>-</v>
      </c>
      <c r="F193" s="185"/>
      <c r="H193" s="91"/>
      <c r="I193" s="91"/>
      <c r="J193" s="91"/>
      <c r="K193" s="91"/>
      <c r="L193" s="91"/>
      <c r="N193" s="117"/>
      <c r="P193" s="118"/>
      <c r="Q193" s="118"/>
      <c r="R193" s="118"/>
      <c r="S193" s="119"/>
      <c r="Y193" s="91"/>
      <c r="Z193" s="91"/>
      <c r="AA193" s="91"/>
      <c r="AB193" s="91"/>
      <c r="AC193" s="91"/>
      <c r="AD193" s="91"/>
      <c r="AZ193" s="102">
        <v>193</v>
      </c>
      <c r="BA193" s="91">
        <v>27</v>
      </c>
      <c r="BB193" s="91" t="s">
        <v>1569</v>
      </c>
      <c r="BC193" s="91" t="s">
        <v>1569</v>
      </c>
      <c r="BD193" s="91" t="s">
        <v>1569</v>
      </c>
      <c r="BE193" s="91" t="s">
        <v>1569</v>
      </c>
      <c r="BF193" s="91" t="s">
        <v>1569</v>
      </c>
      <c r="BG193" s="91" t="s">
        <v>1569</v>
      </c>
      <c r="BH193" s="91" t="s">
        <v>1569</v>
      </c>
      <c r="BI193" s="91" t="s">
        <v>1569</v>
      </c>
      <c r="BJ193" s="91" t="s">
        <v>1569</v>
      </c>
      <c r="BK193" s="91" t="s">
        <v>1569</v>
      </c>
      <c r="BL193" s="102"/>
    </row>
    <row r="194" spans="2:64" ht="15" customHeight="1" x14ac:dyDescent="0.15">
      <c r="B194" s="24" t="str">
        <f>VLOOKUP(BA194,trad_termini,ID_lingua,FALSE)</f>
        <v>Driving Conv. Sprocket</v>
      </c>
      <c r="D194" s="76">
        <v>2</v>
      </c>
      <c r="E194" s="196" t="str">
        <f>VLOOKUP(D_alb_com,sopporti_dati,12,FALSE)</f>
        <v>UNI 6604 B-36x20x160</v>
      </c>
      <c r="F194" s="196"/>
      <c r="H194" s="91"/>
      <c r="I194" s="91"/>
      <c r="J194" s="91"/>
      <c r="K194" s="91"/>
      <c r="L194" s="91"/>
      <c r="N194" s="117"/>
      <c r="P194" s="118"/>
      <c r="Q194" s="118"/>
      <c r="R194" s="118"/>
      <c r="S194" s="119"/>
      <c r="Y194" s="91"/>
      <c r="Z194" s="91"/>
      <c r="AA194" s="91"/>
      <c r="AB194" s="91"/>
      <c r="AC194" s="91"/>
      <c r="AD194" s="91"/>
      <c r="AZ194" s="102">
        <v>194</v>
      </c>
      <c r="BA194" s="91">
        <v>28</v>
      </c>
      <c r="BB194" s="91" t="s">
        <v>1569</v>
      </c>
      <c r="BC194" s="91" t="s">
        <v>1569</v>
      </c>
      <c r="BD194" s="91" t="s">
        <v>1569</v>
      </c>
      <c r="BE194" s="91" t="s">
        <v>1569</v>
      </c>
      <c r="BF194" s="91" t="s">
        <v>1569</v>
      </c>
      <c r="BG194" s="91" t="s">
        <v>1569</v>
      </c>
      <c r="BH194" s="91" t="s">
        <v>1569</v>
      </c>
      <c r="BI194" s="91" t="s">
        <v>1569</v>
      </c>
      <c r="BJ194" s="91" t="s">
        <v>1569</v>
      </c>
      <c r="BK194" s="91" t="s">
        <v>1569</v>
      </c>
      <c r="BL194" s="102"/>
    </row>
    <row r="195" spans="2:64" ht="15" customHeight="1" x14ac:dyDescent="0.15">
      <c r="B195" s="24" t="str">
        <f>VLOOKUP(BA195,trad_termini,ID_lingua,FALSE)</f>
        <v>Return Conv. Sprocket</v>
      </c>
      <c r="D195" s="76">
        <v>2</v>
      </c>
      <c r="E195" s="196" t="str">
        <f>IF(flg_rnv_mot=0,VLOOKUP(mod_base,rinvio_dati,12,FALSE),VLOOKUP(mod_base,rinvio_dati,25,FALSE))</f>
        <v>UNI 6604 B-20x12x140</v>
      </c>
      <c r="F195" s="196"/>
      <c r="H195" s="91"/>
      <c r="I195" s="91"/>
      <c r="J195" s="91"/>
      <c r="K195" s="91"/>
      <c r="L195" s="91"/>
      <c r="N195" s="117"/>
      <c r="P195" s="118"/>
      <c r="Q195" s="118"/>
      <c r="R195" s="118"/>
      <c r="S195" s="119"/>
      <c r="Y195" s="91"/>
      <c r="Z195" s="91"/>
      <c r="AA195" s="91"/>
      <c r="AB195" s="91"/>
      <c r="AC195" s="91"/>
      <c r="AD195" s="91"/>
      <c r="AZ195" s="102">
        <v>195</v>
      </c>
      <c r="BA195" s="91">
        <v>139</v>
      </c>
      <c r="BB195" s="91" t="s">
        <v>1569</v>
      </c>
      <c r="BC195" s="91" t="s">
        <v>1569</v>
      </c>
      <c r="BD195" s="91" t="s">
        <v>1569</v>
      </c>
      <c r="BE195" s="91" t="s">
        <v>1569</v>
      </c>
      <c r="BF195" s="91" t="s">
        <v>1569</v>
      </c>
      <c r="BG195" s="91" t="s">
        <v>1569</v>
      </c>
      <c r="BH195" s="91" t="s">
        <v>1569</v>
      </c>
      <c r="BI195" s="91" t="s">
        <v>1569</v>
      </c>
      <c r="BJ195" s="91" t="s">
        <v>1569</v>
      </c>
      <c r="BK195" s="91" t="s">
        <v>1569</v>
      </c>
      <c r="BL195" s="102"/>
    </row>
    <row r="196" spans="2:64" ht="15" customHeight="1" x14ac:dyDescent="0.15">
      <c r="D196" s="91"/>
      <c r="E196" s="91"/>
      <c r="F196" s="91"/>
      <c r="G196" s="91"/>
      <c r="H196" s="91"/>
      <c r="I196" s="91"/>
      <c r="J196" s="91"/>
      <c r="K196" s="91"/>
      <c r="L196" s="91"/>
      <c r="N196" s="117"/>
      <c r="P196" s="118"/>
      <c r="Q196" s="118"/>
      <c r="R196" s="118"/>
      <c r="S196" s="119"/>
      <c r="Y196" s="91"/>
      <c r="Z196" s="91"/>
      <c r="AA196" s="91"/>
      <c r="AB196" s="91"/>
      <c r="AC196" s="91"/>
      <c r="AD196" s="91"/>
      <c r="AZ196" s="102">
        <v>196</v>
      </c>
      <c r="BA196" s="91" t="s">
        <v>1569</v>
      </c>
      <c r="BB196" s="91" t="s">
        <v>1569</v>
      </c>
      <c r="BC196" s="91" t="s">
        <v>1569</v>
      </c>
      <c r="BD196" s="91" t="s">
        <v>1569</v>
      </c>
      <c r="BE196" s="91" t="s">
        <v>1569</v>
      </c>
      <c r="BF196" s="91" t="s">
        <v>1569</v>
      </c>
      <c r="BG196" s="91" t="s">
        <v>1569</v>
      </c>
      <c r="BH196" s="91" t="s">
        <v>1569</v>
      </c>
      <c r="BI196" s="91" t="s">
        <v>1569</v>
      </c>
      <c r="BJ196" s="91" t="s">
        <v>1569</v>
      </c>
      <c r="BK196" s="91" t="s">
        <v>1569</v>
      </c>
      <c r="BL196" s="102"/>
    </row>
    <row r="197" spans="2:64" ht="15" customHeight="1" x14ac:dyDescent="0.15">
      <c r="B197" s="142" t="str">
        <f>VLOOKUP(BA197,trad_termini,ID_lingua,FALSE)</f>
        <v>Return Bearing</v>
      </c>
      <c r="D197" s="107" t="str">
        <f>VLOOKUP(BC197,trad_termini,ID_lingua,FALSE)</f>
        <v>Qty</v>
      </c>
      <c r="E197" s="188" t="str">
        <f>VLOOKUP(BD197,trad_termini,ID_lingua,FALSE)</f>
        <v>Type</v>
      </c>
      <c r="F197" s="188"/>
      <c r="G197" s="188" t="str">
        <f>VLOOKUP(BF197,trad_termini,ID_lingua,FALSE)</f>
        <v>Drawing</v>
      </c>
      <c r="H197" s="188"/>
      <c r="I197" s="91"/>
      <c r="K197" s="91"/>
      <c r="L197" s="91"/>
      <c r="N197" s="117"/>
      <c r="P197" s="118"/>
      <c r="Q197" s="118"/>
      <c r="R197" s="118"/>
      <c r="S197" s="119"/>
      <c r="Y197" s="91"/>
      <c r="Z197" s="91"/>
      <c r="AA197" s="91"/>
      <c r="AB197" s="91"/>
      <c r="AC197" s="91"/>
      <c r="AD197" s="91"/>
      <c r="AZ197" s="102">
        <v>197</v>
      </c>
      <c r="BA197" s="91">
        <v>153</v>
      </c>
      <c r="BB197" s="91" t="s">
        <v>1569</v>
      </c>
      <c r="BC197" s="91">
        <v>128</v>
      </c>
      <c r="BD197" s="91">
        <v>168</v>
      </c>
      <c r="BE197" s="91" t="s">
        <v>1569</v>
      </c>
      <c r="BF197" s="91">
        <v>57</v>
      </c>
      <c r="BG197" s="91" t="s">
        <v>1569</v>
      </c>
      <c r="BH197" s="91" t="s">
        <v>1569</v>
      </c>
      <c r="BI197" s="91" t="s">
        <v>1569</v>
      </c>
      <c r="BJ197" s="91" t="s">
        <v>1569</v>
      </c>
      <c r="BK197" s="91" t="s">
        <v>1569</v>
      </c>
      <c r="BL197" s="102"/>
    </row>
    <row r="198" spans="2:64" ht="15" customHeight="1" x14ac:dyDescent="0.15">
      <c r="B198" s="24" t="str">
        <f>VLOOKUP(BA198,trad_termini,ID_lingua,FALSE)</f>
        <v>Springs</v>
      </c>
      <c r="D198" s="76">
        <f>VLOOKUP(mod_base,rinvio_dati,19,FALSE)</f>
        <v>88</v>
      </c>
      <c r="E198" s="196" t="str">
        <f>VLOOKUP(mod_base,rinvio_dati,20,FALSE)</f>
        <v>DIN 2093 - 100x51x6</v>
      </c>
      <c r="F198" s="196"/>
      <c r="G198" s="91"/>
      <c r="H198" s="91"/>
      <c r="I198" s="91"/>
      <c r="K198" s="91"/>
      <c r="L198" s="91"/>
      <c r="N198" s="117"/>
      <c r="P198" s="118"/>
      <c r="Q198" s="118"/>
      <c r="R198" s="118"/>
      <c r="S198" s="119"/>
      <c r="Y198" s="91"/>
      <c r="Z198" s="91"/>
      <c r="AA198" s="91"/>
      <c r="AB198" s="91"/>
      <c r="AC198" s="91"/>
      <c r="AD198" s="91"/>
      <c r="AZ198" s="102">
        <v>198</v>
      </c>
      <c r="BA198" s="91">
        <v>107</v>
      </c>
      <c r="BB198" s="91" t="s">
        <v>1569</v>
      </c>
      <c r="BC198" s="91" t="s">
        <v>1569</v>
      </c>
      <c r="BD198" s="91" t="s">
        <v>1569</v>
      </c>
      <c r="BE198" s="91" t="s">
        <v>1569</v>
      </c>
      <c r="BF198" s="91" t="s">
        <v>1569</v>
      </c>
      <c r="BG198" s="91" t="s">
        <v>1569</v>
      </c>
      <c r="BH198" s="91" t="s">
        <v>1569</v>
      </c>
      <c r="BI198" s="91" t="s">
        <v>1569</v>
      </c>
      <c r="BJ198" s="91" t="s">
        <v>1569</v>
      </c>
      <c r="BK198" s="91" t="s">
        <v>1569</v>
      </c>
      <c r="BL198" s="102"/>
    </row>
    <row r="199" spans="2:64" ht="15" customHeight="1" x14ac:dyDescent="0.15">
      <c r="B199" s="24" t="str">
        <f>VLOOKUP(BA199,trad_termini,ID_lingua,FALSE)</f>
        <v>Threaded Bar</v>
      </c>
      <c r="D199" s="76">
        <v>2</v>
      </c>
      <c r="E199" s="197" t="str">
        <f>IFERROR(VLOOKUP(mod_base,rinvio_dati,IF(barra_fil="Metrica",15,IF(barra_fil="Hercules",17,"-")),FALSE),"-")</f>
        <v>Tr36x6</v>
      </c>
      <c r="F199" s="197"/>
      <c r="G199" s="197" t="str">
        <f>IFERROR(VLOOKUP(mod_base,rinvio_dati,IF(barra_fil="Metrica",16,IF(barra_fil="Hercules",18,"-")),FALSE),"-")</f>
        <v>015.00.05.11.00.26</v>
      </c>
      <c r="H199" s="197"/>
      <c r="I199" s="94" t="str">
        <f>VLOOKUP(BH199,trad_termini,ID_lingua,FALSE)</f>
        <v>Type</v>
      </c>
      <c r="J199" s="75" t="s">
        <v>1266</v>
      </c>
      <c r="K199" s="91"/>
      <c r="L199" s="91"/>
      <c r="N199" s="124" t="str">
        <f>IF(E199="-",VLOOKUP(BL199,trad_termini,ID_lingua,FALSE),"")</f>
        <v/>
      </c>
      <c r="P199" s="118"/>
      <c r="Q199" s="118"/>
      <c r="R199" s="118"/>
      <c r="S199" s="119"/>
      <c r="Y199" s="91"/>
      <c r="Z199" s="91"/>
      <c r="AA199" s="91"/>
      <c r="AB199" s="91"/>
      <c r="AC199" s="91"/>
      <c r="AD199" s="91"/>
      <c r="AZ199" s="102">
        <v>199</v>
      </c>
      <c r="BA199" s="91">
        <v>12</v>
      </c>
      <c r="BB199" s="91" t="s">
        <v>1569</v>
      </c>
      <c r="BC199" s="91" t="s">
        <v>1569</v>
      </c>
      <c r="BD199" s="91" t="s">
        <v>1569</v>
      </c>
      <c r="BE199" s="91" t="s">
        <v>1569</v>
      </c>
      <c r="BF199" s="91" t="s">
        <v>1569</v>
      </c>
      <c r="BG199" s="91" t="s">
        <v>1569</v>
      </c>
      <c r="BH199" s="91">
        <v>168</v>
      </c>
      <c r="BI199" s="91" t="s">
        <v>1569</v>
      </c>
      <c r="BJ199" s="91" t="s">
        <v>1569</v>
      </c>
      <c r="BK199" s="91" t="s">
        <v>1569</v>
      </c>
      <c r="BL199" s="102" t="s">
        <v>1970</v>
      </c>
    </row>
    <row r="200" spans="2:64" ht="15" customHeight="1" x14ac:dyDescent="0.15">
      <c r="B200" s="24" t="str">
        <f>VLOOKUP(BA200,trad_termini,ID_lingua,FALSE)</f>
        <v>Nuts</v>
      </c>
      <c r="D200" s="76">
        <v>8</v>
      </c>
      <c r="E200" s="196" t="str">
        <f>E199</f>
        <v>Tr36x6</v>
      </c>
      <c r="F200" s="196"/>
      <c r="G200" s="91"/>
      <c r="H200" s="91"/>
      <c r="I200" s="91"/>
      <c r="K200" s="91"/>
      <c r="L200" s="91"/>
      <c r="N200" s="117"/>
      <c r="P200" s="118"/>
      <c r="Q200" s="118"/>
      <c r="R200" s="118"/>
      <c r="S200" s="119"/>
      <c r="Y200" s="91"/>
      <c r="Z200" s="91"/>
      <c r="AA200" s="91"/>
      <c r="AB200" s="91"/>
      <c r="AC200" s="91"/>
      <c r="AD200" s="91"/>
      <c r="AZ200" s="102">
        <v>200</v>
      </c>
      <c r="BA200" s="91">
        <v>45</v>
      </c>
      <c r="BB200" s="91" t="s">
        <v>1569</v>
      </c>
      <c r="BC200" s="91" t="s">
        <v>1569</v>
      </c>
      <c r="BD200" s="91" t="s">
        <v>1569</v>
      </c>
      <c r="BE200" s="91" t="s">
        <v>1569</v>
      </c>
      <c r="BF200" s="91" t="s">
        <v>1569</v>
      </c>
      <c r="BG200" s="91" t="s">
        <v>1569</v>
      </c>
      <c r="BH200" s="91" t="s">
        <v>1569</v>
      </c>
      <c r="BI200" s="91" t="s">
        <v>1569</v>
      </c>
      <c r="BJ200" s="91" t="s">
        <v>1569</v>
      </c>
      <c r="BK200" s="91" t="s">
        <v>1569</v>
      </c>
      <c r="BL200" s="102"/>
    </row>
    <row r="201" spans="2:64" ht="15" customHeight="1" x14ac:dyDescent="0.15">
      <c r="B201" s="24" t="str">
        <f>VLOOKUP(BA201,trad_termini,ID_lingua,FALSE)</f>
        <v>Signaling Disc</v>
      </c>
      <c r="D201" s="76">
        <v>1</v>
      </c>
      <c r="E201" s="196" t="str">
        <f>IF(VALUE(MID(G201,11,2))=4,"ø150","ø190")</f>
        <v>ø150</v>
      </c>
      <c r="F201" s="196"/>
      <c r="G201" s="197" t="str">
        <f>VLOOKUP(mod_base,rinvio_dati,22,FALSE)</f>
        <v>014.00.05.04.90.00</v>
      </c>
      <c r="H201" s="197"/>
      <c r="I201" s="91"/>
      <c r="K201" s="91"/>
      <c r="L201" s="91"/>
      <c r="N201" s="117"/>
      <c r="P201" s="118"/>
      <c r="Q201" s="118"/>
      <c r="R201" s="118"/>
      <c r="S201" s="119"/>
      <c r="Y201" s="91"/>
      <c r="Z201" s="91"/>
      <c r="AA201" s="91"/>
      <c r="AB201" s="91"/>
      <c r="AC201" s="91"/>
      <c r="AD201" s="91"/>
      <c r="AZ201" s="102">
        <v>201</v>
      </c>
      <c r="BA201" s="91">
        <v>56</v>
      </c>
      <c r="BB201" s="91" t="s">
        <v>1569</v>
      </c>
      <c r="BC201" s="91" t="s">
        <v>1569</v>
      </c>
      <c r="BD201" s="91" t="s">
        <v>1569</v>
      </c>
      <c r="BE201" s="91" t="s">
        <v>1569</v>
      </c>
      <c r="BF201" s="91" t="s">
        <v>1569</v>
      </c>
      <c r="BG201" s="91" t="s">
        <v>1569</v>
      </c>
      <c r="BH201" s="91" t="s">
        <v>1569</v>
      </c>
      <c r="BI201" s="91" t="s">
        <v>1569</v>
      </c>
      <c r="BJ201" s="91" t="s">
        <v>1569</v>
      </c>
      <c r="BK201" s="91" t="s">
        <v>1569</v>
      </c>
      <c r="BL201" s="102"/>
    </row>
    <row r="202" spans="2:64" ht="15" customHeight="1" x14ac:dyDescent="0.15">
      <c r="D202" s="91"/>
      <c r="E202" s="91"/>
      <c r="F202" s="91"/>
      <c r="G202" s="91"/>
      <c r="H202" s="91"/>
      <c r="I202" s="91"/>
      <c r="K202" s="91"/>
      <c r="L202" s="91"/>
      <c r="N202" s="117"/>
      <c r="P202" s="118"/>
      <c r="Q202" s="118"/>
      <c r="R202" s="118"/>
      <c r="S202" s="119"/>
      <c r="Y202" s="91"/>
      <c r="Z202" s="91"/>
      <c r="AA202" s="91"/>
      <c r="AB202" s="91"/>
      <c r="AC202" s="91"/>
      <c r="AD202" s="91"/>
      <c r="AZ202" s="102">
        <v>202</v>
      </c>
      <c r="BA202" s="91" t="s">
        <v>1569</v>
      </c>
      <c r="BB202" s="91" t="s">
        <v>1569</v>
      </c>
      <c r="BC202" s="91" t="s">
        <v>1569</v>
      </c>
      <c r="BD202" s="91" t="s">
        <v>1569</v>
      </c>
      <c r="BE202" s="91" t="s">
        <v>1569</v>
      </c>
      <c r="BF202" s="91" t="s">
        <v>1569</v>
      </c>
      <c r="BG202" s="91" t="s">
        <v>1569</v>
      </c>
      <c r="BH202" s="91" t="s">
        <v>1569</v>
      </c>
      <c r="BI202" s="91" t="s">
        <v>1569</v>
      </c>
      <c r="BJ202" s="91" t="s">
        <v>1569</v>
      </c>
      <c r="BK202" s="91" t="s">
        <v>1569</v>
      </c>
      <c r="BL202" s="102"/>
    </row>
    <row r="203" spans="2:64" ht="15" customHeight="1" x14ac:dyDescent="0.15">
      <c r="B203" s="142" t="str">
        <f>VLOOKUP(BA203,trad_termini,ID_lingua,FALSE)</f>
        <v>Reaction Parts</v>
      </c>
      <c r="D203" s="91"/>
      <c r="E203" s="91"/>
      <c r="F203" s="91"/>
      <c r="G203" s="91"/>
      <c r="H203" s="91"/>
      <c r="I203" s="91"/>
      <c r="J203" s="91"/>
      <c r="K203" s="91"/>
      <c r="L203" s="91"/>
      <c r="N203" s="117"/>
      <c r="P203" s="118"/>
      <c r="Q203" s="118"/>
      <c r="R203" s="118"/>
      <c r="S203" s="119"/>
      <c r="Y203" s="91"/>
      <c r="Z203" s="91"/>
      <c r="AA203" s="91"/>
      <c r="AB203" s="91"/>
      <c r="AC203" s="91"/>
      <c r="AD203" s="91"/>
      <c r="AZ203" s="102">
        <v>203</v>
      </c>
      <c r="BA203" s="91">
        <v>30</v>
      </c>
      <c r="BB203" s="91" t="s">
        <v>1569</v>
      </c>
      <c r="BC203" s="91" t="s">
        <v>1569</v>
      </c>
      <c r="BD203" s="91" t="s">
        <v>1569</v>
      </c>
      <c r="BE203" s="91" t="s">
        <v>1569</v>
      </c>
      <c r="BF203" s="91" t="s">
        <v>1569</v>
      </c>
      <c r="BG203" s="91" t="s">
        <v>1569</v>
      </c>
      <c r="BH203" s="91" t="s">
        <v>1569</v>
      </c>
      <c r="BI203" s="91" t="s">
        <v>1569</v>
      </c>
      <c r="BJ203" s="91" t="s">
        <v>1569</v>
      </c>
      <c r="BK203" s="91" t="s">
        <v>1569</v>
      </c>
      <c r="BL203" s="102"/>
    </row>
    <row r="204" spans="2:64" ht="15" customHeight="1" x14ac:dyDescent="0.15">
      <c r="B204" s="24" t="str">
        <f>VLOOKUP(BA204,trad_termini,ID_lingua,FALSE)</f>
        <v>Reaction Device Type</v>
      </c>
      <c r="D204" s="75" t="s">
        <v>1766</v>
      </c>
      <c r="E204" s="91"/>
      <c r="F204" s="91"/>
      <c r="G204" s="91"/>
      <c r="H204" s="91"/>
      <c r="I204" s="91"/>
      <c r="J204" s="91"/>
      <c r="K204" s="91"/>
      <c r="L204" s="91"/>
      <c r="N204" s="124" t="str">
        <f>IF(AND(D204="-",flg_gmot=1),VLOOKUP(BL204,trad_termini,ID_lingua,FALSE),"")</f>
        <v/>
      </c>
      <c r="P204" s="118"/>
      <c r="Q204" s="118"/>
      <c r="R204" s="118"/>
      <c r="S204" s="119"/>
      <c r="Y204" s="91"/>
      <c r="Z204" s="91"/>
      <c r="AA204" s="91"/>
      <c r="AB204" s="91"/>
      <c r="AC204" s="91"/>
      <c r="AD204" s="91"/>
      <c r="AZ204" s="102">
        <v>204</v>
      </c>
      <c r="BA204" s="91">
        <v>170</v>
      </c>
      <c r="BB204" s="91" t="s">
        <v>1569</v>
      </c>
      <c r="BC204" s="138" t="s">
        <v>1569</v>
      </c>
      <c r="BD204" s="91" t="s">
        <v>1569</v>
      </c>
      <c r="BE204" s="91" t="s">
        <v>1569</v>
      </c>
      <c r="BF204" s="91" t="s">
        <v>1569</v>
      </c>
      <c r="BG204" s="91" t="s">
        <v>1569</v>
      </c>
      <c r="BH204" s="91" t="s">
        <v>1569</v>
      </c>
      <c r="BI204" s="91" t="s">
        <v>1569</v>
      </c>
      <c r="BJ204" s="91" t="s">
        <v>1569</v>
      </c>
      <c r="BK204" s="91" t="s">
        <v>1569</v>
      </c>
      <c r="BL204" s="102" t="s">
        <v>1973</v>
      </c>
    </row>
    <row r="205" spans="2:64" ht="15" customHeight="1" x14ac:dyDescent="0.15">
      <c r="D205" s="91" t="str">
        <f>VLOOKUP(BC205,trad_termini,ID_lingua,FALSE)</f>
        <v>Qty</v>
      </c>
      <c r="E205" s="188" t="str">
        <f>VLOOKUP(BD205,trad_termini,ID_lingua,FALSE)</f>
        <v>Type</v>
      </c>
      <c r="F205" s="188"/>
      <c r="G205" s="188" t="str">
        <f>VLOOKUP(BF205,trad_termini,ID_lingua,FALSE)</f>
        <v>Drawing</v>
      </c>
      <c r="H205" s="188"/>
      <c r="N205" s="117"/>
      <c r="P205" s="118"/>
      <c r="Q205" s="118"/>
      <c r="R205" s="118"/>
      <c r="S205" s="119"/>
      <c r="Y205" s="134" t="s">
        <v>522</v>
      </c>
      <c r="Z205" s="134" t="s">
        <v>521</v>
      </c>
      <c r="AA205" s="134" t="s">
        <v>524</v>
      </c>
      <c r="AB205" s="134" t="s">
        <v>523</v>
      </c>
      <c r="AC205" s="134" t="s">
        <v>634</v>
      </c>
      <c r="AD205" s="91"/>
      <c r="AZ205" s="102">
        <v>205</v>
      </c>
      <c r="BA205" s="91" t="s">
        <v>1569</v>
      </c>
      <c r="BB205" s="91" t="s">
        <v>1569</v>
      </c>
      <c r="BC205" s="91">
        <v>128</v>
      </c>
      <c r="BD205" s="91">
        <v>168</v>
      </c>
      <c r="BE205" s="91" t="s">
        <v>1569</v>
      </c>
      <c r="BF205" s="91">
        <v>57</v>
      </c>
      <c r="BG205" s="91" t="s">
        <v>1569</v>
      </c>
      <c r="BH205" s="91" t="s">
        <v>1569</v>
      </c>
      <c r="BI205" s="91" t="s">
        <v>1569</v>
      </c>
      <c r="BJ205" s="91" t="s">
        <v>1569</v>
      </c>
      <c r="BK205" s="91" t="s">
        <v>1569</v>
      </c>
      <c r="BL205" s="102"/>
    </row>
    <row r="206" spans="2:64" ht="15" customHeight="1" x14ac:dyDescent="0.15">
      <c r="B206" s="24" t="str">
        <f t="shared" ref="B206:B216" si="10">VLOOKUP(BA206,trad_termini,ID_lingua,FALSE)</f>
        <v>Device</v>
      </c>
      <c r="D206" s="76">
        <f>IF(disp_reaz_tipo="-","-",IF(mrid_tipo="R","-",mrid_qt))</f>
        <v>2</v>
      </c>
      <c r="E206" s="198" t="str">
        <f>IF(disp_reaz_tipo="FISSO",CONCATENATE("F.",VLOOKUP(mrid,mrid_dati,7,FALSE),".550"),IF(disp_reaz_tipo="STANDARD",CONCATENATE(IF(P_rid&lt;11,"A.","B."),VLOOKUP(mrid,mrid_dati,7,FALSE),".550"),"-"))</f>
        <v>B.40.550</v>
      </c>
      <c r="F206" s="196"/>
      <c r="G206" s="196" t="str">
        <f>VLOOKUP(E206,disp_dati,6,FALSE)</f>
        <v>012.00.90.50.00.00</v>
      </c>
      <c r="H206" s="196"/>
      <c r="N206" s="117"/>
      <c r="P206" s="118"/>
      <c r="Q206" s="118"/>
      <c r="R206" s="118"/>
      <c r="S206" s="119"/>
      <c r="Y206" s="76">
        <f>P_rid</f>
        <v>18.5</v>
      </c>
      <c r="Z206" s="76" t="e">
        <f>CONCATENATE("br_",IF(MID(macchina,3,1)="P","pnz",LEFT(macchina,2)))</f>
        <v>#NAME?</v>
      </c>
      <c r="AA206" s="76" t="str">
        <f>mrid</f>
        <v>KH127</v>
      </c>
      <c r="AB206" s="76">
        <f>VLOOKUP(mrid,mrid_inst,3,FALSE)+1</f>
        <v>10</v>
      </c>
      <c r="AC206" s="76">
        <f>IF(flg_mrid_forn=0,0,1)</f>
        <v>1</v>
      </c>
      <c r="AD206" s="91"/>
      <c r="AZ206" s="102">
        <v>206</v>
      </c>
      <c r="BA206" s="91">
        <v>58</v>
      </c>
      <c r="BB206" s="91" t="s">
        <v>1569</v>
      </c>
      <c r="BC206" s="91" t="s">
        <v>1569</v>
      </c>
      <c r="BD206" s="91" t="s">
        <v>1569</v>
      </c>
      <c r="BE206" s="91" t="s">
        <v>1569</v>
      </c>
      <c r="BF206" s="91" t="s">
        <v>1569</v>
      </c>
      <c r="BG206" s="91" t="s">
        <v>1569</v>
      </c>
      <c r="BH206" s="91" t="s">
        <v>1569</v>
      </c>
      <c r="BI206" s="91" t="s">
        <v>1569</v>
      </c>
      <c r="BJ206" s="91" t="s">
        <v>1569</v>
      </c>
      <c r="BK206" s="91" t="s">
        <v>1569</v>
      </c>
      <c r="BL206" s="102"/>
    </row>
    <row r="207" spans="2:64" ht="15" customHeight="1" x14ac:dyDescent="0.15">
      <c r="B207" s="24" t="str">
        <f t="shared" si="10"/>
        <v>Ball Joint 1</v>
      </c>
      <c r="D207" s="76">
        <f>IF(disp_reaz_tipo="-","-",IF(mrid_tipo="R","-",mrid_qt))</f>
        <v>2</v>
      </c>
      <c r="E207" s="198" t="str">
        <f>IF(mrid_tipo="R","-",VLOOKUP($E$206,disp_dati,3,FALSE))</f>
        <v>SAA 40 TXE-2LS</v>
      </c>
      <c r="F207" s="196"/>
      <c r="I207" s="91"/>
      <c r="J207" s="91"/>
      <c r="K207" s="91"/>
      <c r="L207" s="91"/>
      <c r="N207" s="117"/>
      <c r="P207" s="118"/>
      <c r="Q207" s="118"/>
      <c r="R207" s="118"/>
      <c r="S207" s="119"/>
      <c r="Y207" s="91"/>
      <c r="Z207" s="91"/>
      <c r="AA207" s="91"/>
      <c r="AB207" s="91"/>
      <c r="AC207" s="91"/>
      <c r="AD207" s="91"/>
      <c r="AZ207" s="102">
        <v>207</v>
      </c>
      <c r="BA207" s="91">
        <v>165</v>
      </c>
      <c r="BB207" s="91" t="s">
        <v>1569</v>
      </c>
      <c r="BC207" s="91" t="s">
        <v>1569</v>
      </c>
      <c r="BD207" s="91" t="s">
        <v>1569</v>
      </c>
      <c r="BE207" s="91" t="s">
        <v>1569</v>
      </c>
      <c r="BF207" s="91" t="s">
        <v>1569</v>
      </c>
      <c r="BG207" s="91" t="s">
        <v>1569</v>
      </c>
      <c r="BH207" s="91" t="s">
        <v>1569</v>
      </c>
      <c r="BI207" s="91" t="s">
        <v>1569</v>
      </c>
      <c r="BJ207" s="91" t="s">
        <v>1569</v>
      </c>
      <c r="BK207" s="91" t="s">
        <v>1569</v>
      </c>
      <c r="BL207" s="102"/>
    </row>
    <row r="208" spans="2:64" ht="15" customHeight="1" x14ac:dyDescent="0.15">
      <c r="B208" s="24" t="str">
        <f t="shared" si="10"/>
        <v>Ball Joint 2</v>
      </c>
      <c r="D208" s="76">
        <f>IF(disp_reaz_tipo="-","-",IF(mrid_tipo="R","-",mrid_qt))</f>
        <v>2</v>
      </c>
      <c r="E208" s="198" t="str">
        <f>IF(mrid_tipo="R","-",VLOOKUP($E$206,disp_dati,4,FALSE))</f>
        <v>SIA 40 TXE-2LS</v>
      </c>
      <c r="F208" s="196"/>
      <c r="I208" s="91"/>
      <c r="J208" s="91"/>
      <c r="K208" s="91"/>
      <c r="L208" s="91"/>
      <c r="N208" s="117"/>
      <c r="P208" s="118"/>
      <c r="Q208" s="118"/>
      <c r="R208" s="118"/>
      <c r="S208" s="119"/>
      <c r="Y208" s="91"/>
      <c r="Z208" s="91"/>
      <c r="AA208" s="91"/>
      <c r="AB208" s="91"/>
      <c r="AC208" s="91"/>
      <c r="AD208" s="91"/>
      <c r="AZ208" s="102">
        <v>208</v>
      </c>
      <c r="BA208" s="91">
        <v>166</v>
      </c>
      <c r="BB208" s="91" t="s">
        <v>1569</v>
      </c>
      <c r="BC208" s="91" t="s">
        <v>1569</v>
      </c>
      <c r="BD208" s="91" t="s">
        <v>1569</v>
      </c>
      <c r="BE208" s="91" t="s">
        <v>1569</v>
      </c>
      <c r="BF208" s="91" t="s">
        <v>1569</v>
      </c>
      <c r="BG208" s="91" t="s">
        <v>1569</v>
      </c>
      <c r="BH208" s="91" t="s">
        <v>1569</v>
      </c>
      <c r="BI208" s="91" t="s">
        <v>1569</v>
      </c>
      <c r="BJ208" s="91" t="s">
        <v>1569</v>
      </c>
      <c r="BK208" s="91" t="s">
        <v>1569</v>
      </c>
      <c r="BL208" s="102"/>
    </row>
    <row r="209" spans="2:64" ht="15" customHeight="1" x14ac:dyDescent="0.15">
      <c r="B209" s="24" t="str">
        <f t="shared" si="10"/>
        <v>Springs</v>
      </c>
      <c r="D209" s="76">
        <f>IF(AND(mrid_tipo&lt;&gt;"R",D204="STANDARD"),mrid_qt*10,"-")</f>
        <v>20</v>
      </c>
      <c r="E209" s="198" t="str">
        <f>IF(OR(mrid_tipo="R",D204="FISSO"),"-",VLOOKUP($E$206,disp_dati,5,FALSE))</f>
        <v>80x41x4</v>
      </c>
      <c r="F209" s="196"/>
      <c r="I209" s="91"/>
      <c r="J209" s="91"/>
      <c r="K209" s="91"/>
      <c r="L209" s="91"/>
      <c r="N209" s="117"/>
      <c r="P209" s="118"/>
      <c r="Q209" s="118"/>
      <c r="R209" s="118"/>
      <c r="S209" s="119"/>
      <c r="Y209" s="91"/>
      <c r="Z209" s="91"/>
      <c r="AA209" s="91"/>
      <c r="AB209" s="91"/>
      <c r="AC209" s="91"/>
      <c r="AD209" s="91"/>
      <c r="AZ209" s="102">
        <v>209</v>
      </c>
      <c r="BA209" s="91">
        <v>107</v>
      </c>
      <c r="BB209" s="91" t="s">
        <v>1569</v>
      </c>
      <c r="BC209" s="91" t="s">
        <v>1569</v>
      </c>
      <c r="BD209" s="91" t="s">
        <v>1569</v>
      </c>
      <c r="BE209" s="91" t="s">
        <v>1569</v>
      </c>
      <c r="BF209" s="91" t="s">
        <v>1569</v>
      </c>
      <c r="BG209" s="91" t="s">
        <v>1569</v>
      </c>
      <c r="BH209" s="91" t="s">
        <v>1569</v>
      </c>
      <c r="BI209" s="91" t="s">
        <v>1569</v>
      </c>
      <c r="BJ209" s="91" t="s">
        <v>1569</v>
      </c>
      <c r="BK209" s="91" t="s">
        <v>1569</v>
      </c>
      <c r="BL209" s="102"/>
    </row>
    <row r="210" spans="2:64" ht="15" customHeight="1" x14ac:dyDescent="0.15">
      <c r="B210" s="24" t="str">
        <f t="shared" si="10"/>
        <v>Torque Arm</v>
      </c>
      <c r="D210" s="76">
        <f>IF(disp_reaz_tipo="-","-",IF(OR(mrid_tipo="R",flg_mrid_forn=0),"-",mrid_qt))</f>
        <v>2</v>
      </c>
      <c r="E210" s="198" t="s">
        <v>40</v>
      </c>
      <c r="F210" s="196">
        <f>IF(AND(mrid_tipo="R",cliente="EGGER"),"-",mrid_qt)</f>
        <v>2</v>
      </c>
      <c r="G210" s="198" t="str">
        <f>IF(disp_reaz_tipo="-","-",IF(OR(mrid_tipo="R",flg_mrid_forn=0),"-",VLOOKUP(mrid,mrid_inst,8,FALSE)))</f>
        <v>012.00.50.04.00.00</v>
      </c>
      <c r="H210" s="196"/>
      <c r="I210" s="91"/>
      <c r="J210" s="91"/>
      <c r="K210" s="91"/>
      <c r="L210" s="91"/>
      <c r="N210" s="117"/>
      <c r="P210" s="118"/>
      <c r="Q210" s="118"/>
      <c r="R210" s="118"/>
      <c r="S210" s="119"/>
      <c r="Y210" s="91"/>
      <c r="Z210" s="91"/>
      <c r="AA210" s="91"/>
      <c r="AB210" s="91"/>
      <c r="AC210" s="91"/>
      <c r="AD210" s="91"/>
      <c r="AZ210" s="102">
        <v>210</v>
      </c>
      <c r="BA210" s="91">
        <v>14</v>
      </c>
      <c r="BB210" s="91" t="s">
        <v>1569</v>
      </c>
      <c r="BC210" s="91" t="s">
        <v>1569</v>
      </c>
      <c r="BD210" s="91" t="s">
        <v>1569</v>
      </c>
      <c r="BE210" s="91" t="s">
        <v>1569</v>
      </c>
      <c r="BF210" s="91" t="s">
        <v>1569</v>
      </c>
      <c r="BG210" s="91" t="s">
        <v>1569</v>
      </c>
      <c r="BH210" s="91" t="s">
        <v>1569</v>
      </c>
      <c r="BI210" s="91" t="s">
        <v>1569</v>
      </c>
      <c r="BJ210" s="91" t="s">
        <v>1569</v>
      </c>
      <c r="BK210" s="91" t="s">
        <v>1569</v>
      </c>
      <c r="BL210" s="102"/>
    </row>
    <row r="211" spans="2:64" ht="15" customHeight="1" x14ac:dyDescent="0.15">
      <c r="B211" s="24" t="str">
        <f t="shared" si="10"/>
        <v>Ball Joint Bracket Assembly</v>
      </c>
      <c r="D211" s="76">
        <f>IF(disp_reaz_tipo="-","-",IF(mrid_tipo="R","-",mrid_qt))</f>
        <v>2</v>
      </c>
      <c r="E211" s="198" t="str">
        <f>IF(disp_reaz_tipo="-","-",IF(mrid_tipo="R","-","STANDARD"))</f>
        <v>STANDARD</v>
      </c>
      <c r="F211" s="196"/>
      <c r="G211" s="198" t="str">
        <f>IF(disp_reaz_tipo="-","-",IF(mrid_tipo="R","-",VLOOKUP(E206,disp_dati,7,FALSE)))</f>
        <v>014.00.02.00.92.00</v>
      </c>
      <c r="H211" s="196"/>
      <c r="I211" s="91"/>
      <c r="J211" s="91"/>
      <c r="K211" s="91"/>
      <c r="L211" s="91"/>
      <c r="N211" s="117"/>
      <c r="P211" s="118"/>
      <c r="Q211" s="118"/>
      <c r="R211" s="118"/>
      <c r="S211" s="119"/>
      <c r="Y211" s="91"/>
      <c r="Z211" s="91"/>
      <c r="AA211" s="91"/>
      <c r="AB211" s="91"/>
      <c r="AC211" s="91"/>
      <c r="AD211" s="91"/>
      <c r="AZ211" s="102">
        <v>211</v>
      </c>
      <c r="BA211" s="91">
        <v>11</v>
      </c>
      <c r="BB211" s="91" t="s">
        <v>1569</v>
      </c>
      <c r="BC211" s="91" t="s">
        <v>1569</v>
      </c>
      <c r="BD211" s="91" t="s">
        <v>1569</v>
      </c>
      <c r="BE211" s="91" t="s">
        <v>1569</v>
      </c>
      <c r="BF211" s="91" t="s">
        <v>1569</v>
      </c>
      <c r="BG211" s="91" t="s">
        <v>1569</v>
      </c>
      <c r="BH211" s="91" t="s">
        <v>1569</v>
      </c>
      <c r="BI211" s="91" t="s">
        <v>1569</v>
      </c>
      <c r="BJ211" s="91" t="s">
        <v>1569</v>
      </c>
      <c r="BK211" s="91" t="s">
        <v>1569</v>
      </c>
      <c r="BL211" s="102"/>
    </row>
    <row r="212" spans="2:64" ht="15" customHeight="1" x14ac:dyDescent="0.15">
      <c r="B212" s="24" t="str">
        <f t="shared" si="10"/>
        <v>Pin (Machine)</v>
      </c>
      <c r="D212" s="76">
        <f>IF(disp_reaz_tipo="-","-",IF(mrid_tipo="R","-",mrid_qt))</f>
        <v>2</v>
      </c>
      <c r="E212" s="198" t="str">
        <f>IF(disp_reaz_tipo="-","-",IF(mrid_tipo="R","-",CONCATENATE("ø",VLOOKUP($E$206,disp_dati,2,FALSE))))</f>
        <v>ø40</v>
      </c>
      <c r="F212" s="196"/>
      <c r="G212" s="198" t="str">
        <f>IF(disp_reaz_tipo="-","-",IF(mrid_tipo="R","-",VLOOKUP(MID($E$206,3,2),attacco_parti,3,FALSE)))</f>
        <v>012.00.91.00.40.01</v>
      </c>
      <c r="H212" s="196"/>
      <c r="I212" s="91"/>
      <c r="J212" s="91"/>
      <c r="K212" s="91"/>
      <c r="L212" s="91"/>
      <c r="N212" s="117"/>
      <c r="P212" s="118"/>
      <c r="Q212" s="118"/>
      <c r="R212" s="118"/>
      <c r="S212" s="119"/>
      <c r="Y212" s="91"/>
      <c r="Z212" s="91"/>
      <c r="AA212" s="91"/>
      <c r="AB212" s="91"/>
      <c r="AC212" s="91"/>
      <c r="AD212" s="91"/>
      <c r="AZ212" s="102">
        <v>212</v>
      </c>
      <c r="BA212" s="91">
        <v>120</v>
      </c>
      <c r="BB212" s="91" t="s">
        <v>1569</v>
      </c>
      <c r="BC212" s="91" t="s">
        <v>1569</v>
      </c>
      <c r="BD212" s="91" t="s">
        <v>1569</v>
      </c>
      <c r="BE212" s="91" t="s">
        <v>1569</v>
      </c>
      <c r="BF212" s="91" t="s">
        <v>1569</v>
      </c>
      <c r="BG212" s="91" t="s">
        <v>1569</v>
      </c>
      <c r="BH212" s="91" t="s">
        <v>1569</v>
      </c>
      <c r="BI212" s="91" t="s">
        <v>1569</v>
      </c>
      <c r="BJ212" s="91" t="s">
        <v>1569</v>
      </c>
      <c r="BK212" s="91" t="s">
        <v>1569</v>
      </c>
      <c r="BL212" s="102"/>
    </row>
    <row r="213" spans="2:64" ht="15" customHeight="1" x14ac:dyDescent="0.15">
      <c r="B213" s="24" t="str">
        <f t="shared" si="10"/>
        <v>Spacer (Machine)</v>
      </c>
      <c r="D213" s="76">
        <f>IF(disp_reaz_tipo="-","-",IF(mrid_tipo="R","-",mrid_qt*2))</f>
        <v>4</v>
      </c>
      <c r="E213" s="198" t="str">
        <f>IF(disp_reaz_tipo="-","-",IF(mrid_tipo="R","-",CONCATENATE("ø",VLOOKUP($E$206,disp_dati,2,FALSE))))</f>
        <v>ø40</v>
      </c>
      <c r="F213" s="196"/>
      <c r="G213" s="198" t="str">
        <f>IF(disp_reaz_tipo="-","-",IF(mrid_tipo="R","-",VLOOKUP(MID($E$206,3,2),attacco_parti,4,FALSE)))</f>
        <v>012.00.91.00.40.02</v>
      </c>
      <c r="H213" s="196"/>
      <c r="I213" s="91"/>
      <c r="J213" s="91"/>
      <c r="K213" s="91"/>
      <c r="L213" s="91"/>
      <c r="N213" s="117"/>
      <c r="P213" s="118"/>
      <c r="Q213" s="118"/>
      <c r="R213" s="118"/>
      <c r="S213" s="119"/>
      <c r="Y213" s="91"/>
      <c r="Z213" s="91"/>
      <c r="AA213" s="91"/>
      <c r="AB213" s="91"/>
      <c r="AC213" s="91"/>
      <c r="AD213" s="91"/>
      <c r="AZ213" s="102">
        <v>213</v>
      </c>
      <c r="BA213" s="91">
        <v>61</v>
      </c>
      <c r="BB213" s="91" t="s">
        <v>1569</v>
      </c>
      <c r="BC213" s="91" t="s">
        <v>1569</v>
      </c>
      <c r="BD213" s="91" t="s">
        <v>1569</v>
      </c>
      <c r="BE213" s="91" t="s">
        <v>1569</v>
      </c>
      <c r="BF213" s="91" t="s">
        <v>1569</v>
      </c>
      <c r="BG213" s="91" t="s">
        <v>1569</v>
      </c>
      <c r="BH213" s="91" t="s">
        <v>1569</v>
      </c>
      <c r="BI213" s="91" t="s">
        <v>1569</v>
      </c>
      <c r="BJ213" s="91" t="s">
        <v>1569</v>
      </c>
      <c r="BK213" s="91" t="s">
        <v>1569</v>
      </c>
      <c r="BL213" s="102"/>
    </row>
    <row r="214" spans="2:64" ht="15" customHeight="1" x14ac:dyDescent="0.15">
      <c r="B214" s="24" t="str">
        <f t="shared" si="10"/>
        <v>Pin (Gearmotor)</v>
      </c>
      <c r="D214" s="76" t="str">
        <f>IF(OR(mrid_tipo="R",flg_mrid_forn=1),"-",mrid_qt)</f>
        <v>-</v>
      </c>
      <c r="E214" s="198" t="str">
        <f>IF(OR(mrid_tipo="R",flg_mrid_forn=1),"-",CONCATENATE("ø",VLOOKUP($E$206,disp_dati,2,FALSE)))</f>
        <v>-</v>
      </c>
      <c r="F214" s="196"/>
      <c r="G214" s="198" t="str">
        <f>IF(OR(mrid_tipo="R",flg_mrid_forn=1),"-",VLOOKUP(mrid,mrid_inst,10,FALSE))</f>
        <v>-</v>
      </c>
      <c r="H214" s="196"/>
      <c r="I214" s="91"/>
      <c r="J214" s="91"/>
      <c r="K214" s="91"/>
      <c r="L214" s="91"/>
      <c r="N214" s="117"/>
      <c r="P214" s="118"/>
      <c r="Q214" s="118"/>
      <c r="R214" s="118"/>
      <c r="S214" s="119"/>
      <c r="Y214" s="91"/>
      <c r="Z214" s="91"/>
      <c r="AA214" s="91"/>
      <c r="AB214" s="91"/>
      <c r="AC214" s="91"/>
      <c r="AD214" s="91"/>
      <c r="AZ214" s="102">
        <v>214</v>
      </c>
      <c r="BA214" s="91">
        <v>121</v>
      </c>
      <c r="BB214" s="91" t="s">
        <v>1569</v>
      </c>
      <c r="BC214" s="91" t="s">
        <v>1569</v>
      </c>
      <c r="BD214" s="91" t="s">
        <v>1569</v>
      </c>
      <c r="BE214" s="91" t="s">
        <v>1569</v>
      </c>
      <c r="BF214" s="91" t="s">
        <v>1569</v>
      </c>
      <c r="BG214" s="91" t="s">
        <v>1569</v>
      </c>
      <c r="BH214" s="91" t="s">
        <v>1569</v>
      </c>
      <c r="BI214" s="91" t="s">
        <v>1569</v>
      </c>
      <c r="BJ214" s="91" t="s">
        <v>1569</v>
      </c>
      <c r="BK214" s="91" t="s">
        <v>1569</v>
      </c>
      <c r="BL214" s="102"/>
    </row>
    <row r="215" spans="2:64" ht="15" customHeight="1" x14ac:dyDescent="0.15">
      <c r="B215" s="24" t="str">
        <f t="shared" si="10"/>
        <v>Spacer (Gearmotor)</v>
      </c>
      <c r="D215" s="76" t="str">
        <f>IF(OR(mrid_tipo="R",flg_mrid_forn=1),"-",mrid_qt)</f>
        <v>-</v>
      </c>
      <c r="E215" s="198" t="str">
        <f>IF(OR(mrid_tipo="R",flg_mrid_forn=1),"-",CONCATENATE("ø",VLOOKUP($E$206,disp_dati,2,FALSE)))</f>
        <v>-</v>
      </c>
      <c r="F215" s="196"/>
      <c r="G215" s="198" t="str">
        <f>IF(OR(mrid_tipo="R",flg_mrid_forn=1),"-",VLOOKUP(mrid,mrid_inst,11,FALSE))</f>
        <v>-</v>
      </c>
      <c r="H215" s="196"/>
      <c r="I215" s="91"/>
      <c r="J215" s="91"/>
      <c r="K215" s="91"/>
      <c r="L215" s="91"/>
      <c r="N215" s="117"/>
      <c r="P215" s="118"/>
      <c r="Q215" s="118"/>
      <c r="R215" s="118"/>
      <c r="S215" s="119"/>
      <c r="Y215" s="91"/>
      <c r="Z215" s="91"/>
      <c r="AA215" s="91"/>
      <c r="AB215" s="91"/>
      <c r="AC215" s="91"/>
      <c r="AD215" s="91"/>
      <c r="AZ215" s="102">
        <v>215</v>
      </c>
      <c r="BA215" s="91">
        <v>60</v>
      </c>
      <c r="BB215" s="91" t="s">
        <v>1569</v>
      </c>
      <c r="BC215" s="91" t="s">
        <v>1569</v>
      </c>
      <c r="BD215" s="91" t="s">
        <v>1569</v>
      </c>
      <c r="BE215" s="91" t="s">
        <v>1569</v>
      </c>
      <c r="BF215" s="91" t="s">
        <v>1569</v>
      </c>
      <c r="BG215" s="91" t="s">
        <v>1569</v>
      </c>
      <c r="BH215" s="91" t="s">
        <v>1569</v>
      </c>
      <c r="BI215" s="91" t="s">
        <v>1569</v>
      </c>
      <c r="BJ215" s="91" t="s">
        <v>1569</v>
      </c>
      <c r="BK215" s="91" t="s">
        <v>1569</v>
      </c>
      <c r="BL215" s="102"/>
    </row>
    <row r="216" spans="2:64" ht="15" customHeight="1" x14ac:dyDescent="0.15">
      <c r="B216" s="24" t="str">
        <f t="shared" si="10"/>
        <v>Safety Washer</v>
      </c>
      <c r="D216" s="76" t="str">
        <f>IF(OR(mrid_tipo="R",flg_mrid_forn=1),"-",mrid_qt)</f>
        <v>-</v>
      </c>
      <c r="E216" s="198" t="str">
        <f>IF(OR(mrid_tipo="R",flg_mrid_forn=1),"-",CONCATENATE("ø",VLOOKUP($E$206,disp_dati,2,FALSE)))</f>
        <v>-</v>
      </c>
      <c r="F216" s="196"/>
      <c r="G216" s="198" t="str">
        <f>IF(OR(mrid_tipo="R",flg_mrid_forn=1),"-",VLOOKUP(mrid,mrid_inst,12,FALSE))</f>
        <v>-</v>
      </c>
      <c r="H216" s="196"/>
      <c r="I216" s="91"/>
      <c r="J216" s="91"/>
      <c r="K216" s="91"/>
      <c r="L216" s="91"/>
      <c r="N216" s="117"/>
      <c r="P216" s="118"/>
      <c r="Q216" s="118"/>
      <c r="R216" s="118"/>
      <c r="S216" s="119"/>
      <c r="Y216" s="91"/>
      <c r="Z216" s="91"/>
      <c r="AA216" s="91"/>
      <c r="AB216" s="91"/>
      <c r="AC216" s="91"/>
      <c r="AD216" s="91"/>
      <c r="AZ216" s="102">
        <v>216</v>
      </c>
      <c r="BA216" s="91">
        <v>141</v>
      </c>
      <c r="BB216" s="91" t="s">
        <v>1569</v>
      </c>
      <c r="BC216" s="91" t="s">
        <v>1569</v>
      </c>
      <c r="BD216" s="91" t="s">
        <v>1569</v>
      </c>
      <c r="BE216" s="91" t="s">
        <v>1569</v>
      </c>
      <c r="BF216" s="91" t="s">
        <v>1569</v>
      </c>
      <c r="BG216" s="91" t="s">
        <v>1569</v>
      </c>
      <c r="BH216" s="91" t="s">
        <v>1569</v>
      </c>
      <c r="BI216" s="91" t="s">
        <v>1569</v>
      </c>
      <c r="BJ216" s="91" t="s">
        <v>1569</v>
      </c>
      <c r="BK216" s="91" t="s">
        <v>1569</v>
      </c>
      <c r="BL216" s="102"/>
    </row>
    <row r="217" spans="2:64" ht="15" customHeight="1" x14ac:dyDescent="0.15">
      <c r="D217" s="91"/>
      <c r="E217" s="91"/>
      <c r="F217" s="91"/>
      <c r="G217" s="91"/>
      <c r="H217" s="91"/>
      <c r="I217" s="91"/>
      <c r="J217" s="91"/>
      <c r="K217" s="91"/>
      <c r="L217" s="91"/>
      <c r="N217" s="117"/>
      <c r="P217" s="118"/>
      <c r="Q217" s="118"/>
      <c r="R217" s="118"/>
      <c r="S217" s="119"/>
      <c r="Y217" s="91"/>
      <c r="Z217" s="91"/>
      <c r="AA217" s="91"/>
      <c r="AB217" s="91"/>
      <c r="AC217" s="91"/>
      <c r="AD217" s="91"/>
      <c r="AZ217" s="102">
        <v>217</v>
      </c>
      <c r="BA217" s="91" t="s">
        <v>1569</v>
      </c>
      <c r="BB217" s="91" t="s">
        <v>1569</v>
      </c>
      <c r="BC217" s="91" t="s">
        <v>1569</v>
      </c>
      <c r="BD217" s="91" t="s">
        <v>1569</v>
      </c>
      <c r="BE217" s="91" t="s">
        <v>1569</v>
      </c>
      <c r="BF217" s="91" t="s">
        <v>1569</v>
      </c>
      <c r="BG217" s="91" t="s">
        <v>1569</v>
      </c>
      <c r="BH217" s="91" t="s">
        <v>1569</v>
      </c>
      <c r="BI217" s="91" t="s">
        <v>1569</v>
      </c>
      <c r="BJ217" s="91" t="s">
        <v>1569</v>
      </c>
      <c r="BK217" s="91" t="s">
        <v>1569</v>
      </c>
      <c r="BL217" s="102"/>
    </row>
    <row r="218" spans="2:64" ht="15" customHeight="1" x14ac:dyDescent="0.15">
      <c r="B218" s="149" t="str">
        <f>VLOOKUP(BA218,trad_termini,ID_lingua,FALSE)</f>
        <v>Gearmotor Fasteners</v>
      </c>
      <c r="G218" s="91"/>
      <c r="H218" s="91"/>
      <c r="N218" s="117"/>
      <c r="P218" s="118"/>
      <c r="Q218" s="118"/>
      <c r="R218" s="118"/>
      <c r="S218" s="119"/>
      <c r="Y218" s="91"/>
      <c r="Z218" s="91"/>
      <c r="AA218" s="91"/>
      <c r="AB218" s="91"/>
      <c r="AC218" s="91"/>
      <c r="AD218" s="91"/>
      <c r="AZ218" s="102">
        <v>218</v>
      </c>
      <c r="BA218" s="91">
        <v>69</v>
      </c>
      <c r="BB218" s="91" t="s">
        <v>1569</v>
      </c>
      <c r="BC218" s="91" t="s">
        <v>1569</v>
      </c>
      <c r="BD218" s="91" t="s">
        <v>1569</v>
      </c>
      <c r="BE218" s="91" t="s">
        <v>1569</v>
      </c>
      <c r="BF218" s="91" t="s">
        <v>1569</v>
      </c>
      <c r="BG218" s="91" t="s">
        <v>1569</v>
      </c>
      <c r="BH218" s="91" t="s">
        <v>1569</v>
      </c>
      <c r="BI218" s="91" t="s">
        <v>1569</v>
      </c>
      <c r="BJ218" s="91" t="s">
        <v>1569</v>
      </c>
      <c r="BK218" s="91" t="s">
        <v>1569</v>
      </c>
      <c r="BL218" s="102"/>
    </row>
    <row r="219" spans="2:64" ht="15" customHeight="1" x14ac:dyDescent="0.15">
      <c r="D219" s="107" t="str">
        <f>VLOOKUP(BC219,trad_termini,ID_lingua,FALSE)</f>
        <v>Qty</v>
      </c>
      <c r="E219" s="188" t="str">
        <f>VLOOKUP(BD219,trad_termini,ID_lingua,FALSE)</f>
        <v>Type</v>
      </c>
      <c r="F219" s="188"/>
      <c r="G219" s="91"/>
      <c r="H219" s="91"/>
      <c r="N219" s="117"/>
      <c r="P219" s="118"/>
      <c r="Q219" s="118"/>
      <c r="R219" s="118"/>
      <c r="S219" s="119"/>
      <c r="Y219" s="91"/>
      <c r="Z219" s="91"/>
      <c r="AA219" s="91"/>
      <c r="AB219" s="91"/>
      <c r="AC219" s="91"/>
      <c r="AD219" s="91"/>
      <c r="AZ219" s="102">
        <v>219</v>
      </c>
      <c r="BA219" s="91" t="s">
        <v>1569</v>
      </c>
      <c r="BB219" s="91" t="s">
        <v>1569</v>
      </c>
      <c r="BC219" s="91">
        <v>128</v>
      </c>
      <c r="BD219" s="91">
        <v>168</v>
      </c>
      <c r="BE219" s="91" t="s">
        <v>1569</v>
      </c>
      <c r="BF219" s="91" t="s">
        <v>1569</v>
      </c>
      <c r="BG219" s="91" t="s">
        <v>1569</v>
      </c>
      <c r="BH219" s="91" t="s">
        <v>1569</v>
      </c>
      <c r="BI219" s="91" t="s">
        <v>1569</v>
      </c>
      <c r="BJ219" s="91" t="s">
        <v>1569</v>
      </c>
      <c r="BK219" s="91" t="s">
        <v>1569</v>
      </c>
      <c r="BL219" s="102"/>
    </row>
    <row r="220" spans="2:64" ht="15" customHeight="1" x14ac:dyDescent="0.15">
      <c r="C220" s="94" t="str">
        <f>VLOOKUP(BB220,trad_termini,ID_lingua,FALSE)</f>
        <v>Screw</v>
      </c>
      <c r="D220" s="76">
        <f>mrid_qt*4</f>
        <v>8</v>
      </c>
      <c r="E220" s="198" t="str">
        <f>VLOOKUP(mrid,mrid_inst,4,FALSE)</f>
        <v>UNI 5739-M36x130-8.8</v>
      </c>
      <c r="F220" s="196"/>
      <c r="G220" s="91"/>
      <c r="H220" s="91"/>
      <c r="N220" s="117"/>
      <c r="P220" s="118"/>
      <c r="Q220" s="118"/>
      <c r="R220" s="118"/>
      <c r="S220" s="119"/>
      <c r="Y220" s="91"/>
      <c r="Z220" s="91"/>
      <c r="AA220" s="91"/>
      <c r="AB220" s="91"/>
      <c r="AC220" s="91"/>
      <c r="AD220" s="91"/>
      <c r="AZ220" s="102">
        <v>220</v>
      </c>
      <c r="BA220" s="91" t="s">
        <v>1569</v>
      </c>
      <c r="BB220" s="91">
        <v>178</v>
      </c>
      <c r="BC220" s="91" t="s">
        <v>1569</v>
      </c>
      <c r="BD220" s="91" t="s">
        <v>1569</v>
      </c>
      <c r="BE220" s="91" t="s">
        <v>1569</v>
      </c>
      <c r="BF220" s="91" t="s">
        <v>1569</v>
      </c>
      <c r="BG220" s="91" t="s">
        <v>1569</v>
      </c>
      <c r="BH220" s="91" t="s">
        <v>1569</v>
      </c>
      <c r="BI220" s="91" t="s">
        <v>1569</v>
      </c>
      <c r="BJ220" s="91" t="s">
        <v>1569</v>
      </c>
      <c r="BK220" s="91" t="s">
        <v>1569</v>
      </c>
      <c r="BL220" s="102"/>
    </row>
    <row r="221" spans="2:64" ht="15" customHeight="1" x14ac:dyDescent="0.15">
      <c r="C221" s="94" t="str">
        <f>VLOOKUP(BB221,trad_termini,ID_lingua,FALSE)</f>
        <v>Plain Washer</v>
      </c>
      <c r="D221" s="76">
        <f>IF(AND(LEFT(mrid,1)="K",VLOOKUP(mrid,mrid_inst,6,FALSE)&lt;&gt;"-"),4,8)*mrid_qt</f>
        <v>16</v>
      </c>
      <c r="E221" s="198" t="str">
        <f>VLOOKUP(mrid,mrid_inst,5,FALSE)</f>
        <v>UNI 6592-37x66</v>
      </c>
      <c r="F221" s="196"/>
      <c r="G221" s="91"/>
      <c r="H221" s="91"/>
      <c r="N221" s="117"/>
      <c r="P221" s="118"/>
      <c r="Q221" s="118"/>
      <c r="R221" s="118"/>
      <c r="S221" s="119"/>
      <c r="Y221" s="91"/>
      <c r="Z221" s="91"/>
      <c r="AA221" s="91"/>
      <c r="AB221" s="91"/>
      <c r="AC221" s="91"/>
      <c r="AD221" s="91"/>
      <c r="AZ221" s="102">
        <v>221</v>
      </c>
      <c r="BA221" s="91" t="s">
        <v>1569</v>
      </c>
      <c r="BB221" s="91">
        <v>143</v>
      </c>
      <c r="BC221" s="91" t="s">
        <v>1569</v>
      </c>
      <c r="BD221" s="91" t="s">
        <v>1569</v>
      </c>
      <c r="BE221" s="91" t="s">
        <v>1569</v>
      </c>
      <c r="BF221" s="91" t="s">
        <v>1569</v>
      </c>
      <c r="BG221" s="91" t="s">
        <v>1569</v>
      </c>
      <c r="BH221" s="91" t="s">
        <v>1569</v>
      </c>
      <c r="BI221" s="91" t="s">
        <v>1569</v>
      </c>
      <c r="BJ221" s="91" t="s">
        <v>1569</v>
      </c>
      <c r="BK221" s="91" t="s">
        <v>1569</v>
      </c>
      <c r="BL221" s="102"/>
    </row>
    <row r="222" spans="2:64" ht="15" customHeight="1" x14ac:dyDescent="0.15">
      <c r="C222" s="94" t="str">
        <f>IF(D222&gt;0,VLOOKUP(BB222,trad_termini,ID_lingua,FALSE),"-")</f>
        <v>-</v>
      </c>
      <c r="D222" s="76">
        <f>IF(E222="-",0,4)*mrid_qt</f>
        <v>0</v>
      </c>
      <c r="E222" s="198" t="str">
        <f>VLOOKUP(mrid,mrid_inst,6,FALSE)</f>
        <v>-</v>
      </c>
      <c r="F222" s="196"/>
      <c r="G222" s="91"/>
      <c r="H222" s="91"/>
      <c r="N222" s="117"/>
      <c r="P222" s="118"/>
      <c r="Q222" s="118"/>
      <c r="R222" s="118"/>
      <c r="S222" s="119"/>
      <c r="Y222" s="91"/>
      <c r="Z222" s="91"/>
      <c r="AA222" s="91"/>
      <c r="AB222" s="91"/>
      <c r="AC222" s="91"/>
      <c r="AD222" s="91"/>
      <c r="AZ222" s="102">
        <v>222</v>
      </c>
      <c r="BA222" s="91" t="s">
        <v>1569</v>
      </c>
      <c r="BB222" s="91">
        <v>142</v>
      </c>
      <c r="BC222" s="91" t="s">
        <v>1569</v>
      </c>
      <c r="BD222" s="91" t="s">
        <v>1569</v>
      </c>
      <c r="BE222" s="91" t="s">
        <v>1569</v>
      </c>
      <c r="BF222" s="91" t="s">
        <v>1569</v>
      </c>
      <c r="BG222" s="91" t="s">
        <v>1569</v>
      </c>
      <c r="BH222" s="91" t="s">
        <v>1569</v>
      </c>
      <c r="BI222" s="91" t="s">
        <v>1569</v>
      </c>
      <c r="BJ222" s="91" t="s">
        <v>1569</v>
      </c>
      <c r="BK222" s="91" t="s">
        <v>1569</v>
      </c>
      <c r="BL222" s="102"/>
    </row>
    <row r="223" spans="2:64" ht="15" customHeight="1" x14ac:dyDescent="0.15">
      <c r="C223" s="94" t="str">
        <f>VLOOKUP(BB223,trad_termini,ID_lingua,FALSE)</f>
        <v>Nut</v>
      </c>
      <c r="D223" s="76">
        <f>IF(AND(LEFT(mrid_tipo,1)="K",E223="-"),0,4*mrid_qt)</f>
        <v>8</v>
      </c>
      <c r="E223" s="198" t="str">
        <f>VLOOKUP(mrid,mrid_inst,7,FALSE)</f>
        <v>UNI 7473-M36-8</v>
      </c>
      <c r="F223" s="196"/>
      <c r="G223" s="91"/>
      <c r="H223" s="91"/>
      <c r="I223" s="91"/>
      <c r="J223" s="91"/>
      <c r="K223" s="91"/>
      <c r="L223" s="91"/>
      <c r="N223" s="117"/>
      <c r="P223" s="118"/>
      <c r="Q223" s="118"/>
      <c r="R223" s="118"/>
      <c r="S223" s="119"/>
      <c r="Y223" s="91"/>
      <c r="Z223" s="91"/>
      <c r="AA223" s="91"/>
      <c r="AB223" s="91"/>
      <c r="AC223" s="91"/>
      <c r="AD223" s="91"/>
      <c r="AZ223" s="102">
        <v>223</v>
      </c>
      <c r="BA223" s="91" t="s">
        <v>1569</v>
      </c>
      <c r="BB223" s="91">
        <v>46</v>
      </c>
      <c r="BC223" s="91" t="s">
        <v>1569</v>
      </c>
      <c r="BD223" s="91" t="s">
        <v>1569</v>
      </c>
      <c r="BE223" s="91" t="s">
        <v>1569</v>
      </c>
      <c r="BF223" s="91" t="s">
        <v>1569</v>
      </c>
      <c r="BG223" s="91" t="s">
        <v>1569</v>
      </c>
      <c r="BH223" s="91" t="s">
        <v>1569</v>
      </c>
      <c r="BI223" s="91" t="s">
        <v>1569</v>
      </c>
      <c r="BJ223" s="91" t="s">
        <v>1569</v>
      </c>
      <c r="BK223" s="91" t="s">
        <v>1569</v>
      </c>
      <c r="BL223" s="102"/>
    </row>
    <row r="224" spans="2:64" ht="15" customHeight="1" x14ac:dyDescent="0.15">
      <c r="D224" s="91"/>
      <c r="E224" s="91"/>
      <c r="F224" s="91"/>
      <c r="G224" s="91"/>
      <c r="H224" s="91"/>
      <c r="I224" s="91"/>
      <c r="J224" s="91"/>
      <c r="K224" s="91"/>
      <c r="L224" s="91"/>
      <c r="N224" s="117"/>
      <c r="P224" s="118"/>
      <c r="Q224" s="118"/>
      <c r="R224" s="118"/>
      <c r="S224" s="119"/>
      <c r="Y224" s="91"/>
      <c r="Z224" s="91"/>
      <c r="AA224" s="91"/>
      <c r="AB224" s="91"/>
      <c r="AC224" s="91"/>
      <c r="AD224" s="91"/>
      <c r="AZ224" s="102">
        <v>224</v>
      </c>
      <c r="BA224" s="91" t="s">
        <v>1569</v>
      </c>
      <c r="BB224" s="91" t="s">
        <v>1569</v>
      </c>
      <c r="BC224" s="91" t="s">
        <v>1569</v>
      </c>
      <c r="BD224" s="91" t="s">
        <v>1569</v>
      </c>
      <c r="BE224" s="91" t="s">
        <v>1569</v>
      </c>
      <c r="BF224" s="91" t="s">
        <v>1569</v>
      </c>
      <c r="BG224" s="91" t="s">
        <v>1569</v>
      </c>
      <c r="BH224" s="91" t="s">
        <v>1569</v>
      </c>
      <c r="BI224" s="91" t="s">
        <v>1569</v>
      </c>
      <c r="BJ224" s="91" t="s">
        <v>1569</v>
      </c>
      <c r="BK224" s="91" t="s">
        <v>1569</v>
      </c>
      <c r="BL224" s="102"/>
    </row>
    <row r="225" spans="2:64" ht="15" customHeight="1" x14ac:dyDescent="0.15">
      <c r="N225" s="117"/>
      <c r="P225" s="118"/>
      <c r="Q225" s="118"/>
      <c r="R225" s="118"/>
      <c r="S225" s="119"/>
      <c r="AZ225" s="102">
        <v>225</v>
      </c>
      <c r="BA225" s="91" t="s">
        <v>1569</v>
      </c>
      <c r="BB225" s="91" t="s">
        <v>1569</v>
      </c>
      <c r="BC225" s="91" t="s">
        <v>1569</v>
      </c>
      <c r="BD225" s="91" t="s">
        <v>1569</v>
      </c>
      <c r="BE225" s="91" t="s">
        <v>1569</v>
      </c>
      <c r="BF225" s="91" t="s">
        <v>1569</v>
      </c>
      <c r="BG225" s="91" t="s">
        <v>1569</v>
      </c>
      <c r="BH225" s="91" t="s">
        <v>1569</v>
      </c>
      <c r="BI225" s="91" t="s">
        <v>1569</v>
      </c>
      <c r="BJ225" s="91" t="s">
        <v>1569</v>
      </c>
      <c r="BK225" s="91" t="s">
        <v>1569</v>
      </c>
      <c r="BL225" s="102"/>
    </row>
    <row r="226" spans="2:64" ht="15" customHeight="1" x14ac:dyDescent="0.15">
      <c r="B226" s="142" t="str">
        <f>VLOOKUP(BA226,trad_termini,ID_lingua,FALSE)</f>
        <v>Sensors</v>
      </c>
      <c r="N226" s="117"/>
      <c r="P226" s="118"/>
      <c r="Q226" s="118"/>
      <c r="R226" s="118"/>
      <c r="S226" s="119"/>
      <c r="AZ226" s="102">
        <v>226</v>
      </c>
      <c r="BA226" s="91">
        <v>146</v>
      </c>
      <c r="BB226" s="91" t="s">
        <v>1569</v>
      </c>
      <c r="BC226" s="91" t="s">
        <v>1569</v>
      </c>
      <c r="BD226" s="91" t="s">
        <v>1569</v>
      </c>
      <c r="BE226" s="91" t="s">
        <v>1569</v>
      </c>
      <c r="BF226" s="91" t="s">
        <v>1569</v>
      </c>
      <c r="BG226" s="91" t="s">
        <v>1569</v>
      </c>
      <c r="BH226" s="91" t="s">
        <v>1569</v>
      </c>
      <c r="BI226" s="91" t="s">
        <v>1569</v>
      </c>
      <c r="BJ226" s="91" t="s">
        <v>1569</v>
      </c>
      <c r="BK226" s="91" t="s">
        <v>1569</v>
      </c>
      <c r="BL226" s="102"/>
    </row>
    <row r="227" spans="2:64" ht="15" customHeight="1" x14ac:dyDescent="0.15">
      <c r="B227" s="107" t="str">
        <f>VLOOKUP(BA227,trad_termini,ID_lingua,FALSE)</f>
        <v>Qty</v>
      </c>
      <c r="C227" s="188" t="str">
        <f>VLOOKUP(BB227,trad_termini,ID_lingua,FALSE)</f>
        <v>Function</v>
      </c>
      <c r="D227" s="188"/>
      <c r="E227" s="188" t="str">
        <f>VLOOKUP(BD227,trad_termini,ID_lingua,FALSE)</f>
        <v>Type</v>
      </c>
      <c r="F227" s="188"/>
      <c r="G227" s="188"/>
      <c r="H227" s="107" t="str">
        <f>VLOOKUP(BG227,trad_termini,ID_lingua,FALSE)</f>
        <v>Connector</v>
      </c>
      <c r="I227" s="188" t="str">
        <f>VLOOKUP(BH227,trad_termini,ID_lingua,FALSE)</f>
        <v>Remarks</v>
      </c>
      <c r="J227" s="188"/>
      <c r="K227" s="188"/>
      <c r="L227" s="188"/>
      <c r="N227" s="117"/>
      <c r="P227" s="118"/>
      <c r="Q227" s="118"/>
      <c r="R227" s="118"/>
      <c r="S227" s="119"/>
      <c r="AZ227" s="102">
        <v>227</v>
      </c>
      <c r="BA227" s="91">
        <v>128</v>
      </c>
      <c r="BB227" s="91">
        <v>76</v>
      </c>
      <c r="BC227" s="91" t="s">
        <v>1569</v>
      </c>
      <c r="BD227" s="91">
        <v>168</v>
      </c>
      <c r="BE227" s="91" t="s">
        <v>1569</v>
      </c>
      <c r="BF227" s="91" t="s">
        <v>1569</v>
      </c>
      <c r="BG227" s="91">
        <v>20</v>
      </c>
      <c r="BH227" s="91">
        <v>111</v>
      </c>
      <c r="BI227" s="91" t="s">
        <v>1569</v>
      </c>
      <c r="BJ227" s="91" t="s">
        <v>1569</v>
      </c>
      <c r="BK227" s="91" t="s">
        <v>1569</v>
      </c>
      <c r="BL227" s="102"/>
    </row>
    <row r="228" spans="2:64" ht="15" customHeight="1" x14ac:dyDescent="0.15">
      <c r="B228" s="75">
        <v>1</v>
      </c>
      <c r="C228" s="184" t="str">
        <f>VLOOKUP(BB228,trad_termini,ID_lingua,FALSE)</f>
        <v>Rotation Control</v>
      </c>
      <c r="D228" s="185"/>
      <c r="E228" s="194" t="s">
        <v>2091</v>
      </c>
      <c r="F228" s="211"/>
      <c r="G228" s="195"/>
      <c r="H228" s="75" t="s">
        <v>40</v>
      </c>
      <c r="I228" s="194"/>
      <c r="J228" s="211"/>
      <c r="K228" s="211"/>
      <c r="L228" s="195"/>
      <c r="N228" s="124" t="str">
        <f>IF(AND(B228&lt;&gt;"-",E228="-"),VLOOKUP(BL228,trad_termini,ID_lingua,FALSE),"")</f>
        <v/>
      </c>
      <c r="P228" s="118"/>
      <c r="Q228" s="118"/>
      <c r="R228" s="118"/>
      <c r="S228" s="119"/>
      <c r="AZ228" s="102">
        <v>228</v>
      </c>
      <c r="BA228" s="91" t="s">
        <v>1569</v>
      </c>
      <c r="BB228" s="91">
        <v>34</v>
      </c>
      <c r="BC228" s="91" t="s">
        <v>1569</v>
      </c>
      <c r="BD228" s="91" t="s">
        <v>1569</v>
      </c>
      <c r="BE228" s="91" t="s">
        <v>1569</v>
      </c>
      <c r="BF228" s="91" t="s">
        <v>1569</v>
      </c>
      <c r="BG228" s="91" t="s">
        <v>1569</v>
      </c>
      <c r="BH228" s="91" t="s">
        <v>1569</v>
      </c>
      <c r="BI228" s="91" t="s">
        <v>1569</v>
      </c>
      <c r="BJ228" s="91" t="s">
        <v>1569</v>
      </c>
      <c r="BK228" s="91" t="s">
        <v>1569</v>
      </c>
      <c r="BL228" s="102" t="s">
        <v>2021</v>
      </c>
    </row>
    <row r="229" spans="2:64" ht="15" customHeight="1" x14ac:dyDescent="0.15">
      <c r="B229" s="75">
        <v>1</v>
      </c>
      <c r="C229" s="184" t="str">
        <f>VLOOKUP(BB229,trad_termini,ID_lingua,FALSE)</f>
        <v>Clogging Detection</v>
      </c>
      <c r="D229" s="185"/>
      <c r="E229" s="194" t="s">
        <v>2091</v>
      </c>
      <c r="F229" s="211"/>
      <c r="G229" s="195"/>
      <c r="H229" s="75" t="s">
        <v>40</v>
      </c>
      <c r="I229" s="194"/>
      <c r="J229" s="211"/>
      <c r="K229" s="211"/>
      <c r="L229" s="195"/>
      <c r="N229" s="124" t="str">
        <f>IF(AND(B229&lt;&gt;"-",E229="-"),VLOOKUP(BL229,trad_termini,ID_lingua,FALSE),"")</f>
        <v/>
      </c>
      <c r="P229" s="118"/>
      <c r="Q229" s="118"/>
      <c r="R229" s="118"/>
      <c r="S229" s="119"/>
      <c r="AZ229" s="102">
        <v>229</v>
      </c>
      <c r="BA229" s="91" t="s">
        <v>1569</v>
      </c>
      <c r="BB229" s="91">
        <v>137</v>
      </c>
      <c r="BC229" s="91" t="s">
        <v>1569</v>
      </c>
      <c r="BD229" s="91" t="s">
        <v>1569</v>
      </c>
      <c r="BE229" s="91" t="s">
        <v>1569</v>
      </c>
      <c r="BF229" s="91" t="s">
        <v>1569</v>
      </c>
      <c r="BG229" s="91" t="s">
        <v>1569</v>
      </c>
      <c r="BH229" s="91" t="s">
        <v>1569</v>
      </c>
      <c r="BI229" s="91" t="s">
        <v>1569</v>
      </c>
      <c r="BJ229" s="91" t="s">
        <v>1569</v>
      </c>
      <c r="BK229" s="91" t="s">
        <v>1569</v>
      </c>
      <c r="BL229" s="102" t="s">
        <v>2021</v>
      </c>
    </row>
    <row r="230" spans="2:64" ht="15" customHeight="1" x14ac:dyDescent="0.15">
      <c r="B230" s="75">
        <v>4</v>
      </c>
      <c r="C230" s="184" t="str">
        <f>VLOOKUP(BB230,trad_termini,ID_lingua,FALSE)</f>
        <v>Return Shaft Travel</v>
      </c>
      <c r="D230" s="185"/>
      <c r="E230" s="194" t="s">
        <v>2091</v>
      </c>
      <c r="F230" s="211"/>
      <c r="G230" s="195"/>
      <c r="H230" s="75" t="s">
        <v>40</v>
      </c>
      <c r="I230" s="194"/>
      <c r="J230" s="211"/>
      <c r="K230" s="211"/>
      <c r="L230" s="195"/>
      <c r="N230" s="124" t="str">
        <f>IF(AND(B230&lt;&gt;"-",E230="-"),VLOOKUP(BL230,trad_termini,ID_lingua,FALSE),"")</f>
        <v/>
      </c>
      <c r="P230" s="118"/>
      <c r="Q230" s="118"/>
      <c r="R230" s="118"/>
      <c r="S230" s="119"/>
      <c r="AZ230" s="102">
        <v>230</v>
      </c>
      <c r="BA230" s="91" t="s">
        <v>1569</v>
      </c>
      <c r="BB230" s="91">
        <v>35</v>
      </c>
      <c r="BC230" s="91" t="s">
        <v>1569</v>
      </c>
      <c r="BD230" s="91" t="s">
        <v>1569</v>
      </c>
      <c r="BE230" s="91" t="s">
        <v>1569</v>
      </c>
      <c r="BF230" s="91" t="s">
        <v>1569</v>
      </c>
      <c r="BG230" s="91" t="s">
        <v>1569</v>
      </c>
      <c r="BH230" s="91" t="s">
        <v>1569</v>
      </c>
      <c r="BI230" s="91" t="s">
        <v>1569</v>
      </c>
      <c r="BJ230" s="91" t="s">
        <v>1569</v>
      </c>
      <c r="BK230" s="91" t="s">
        <v>1569</v>
      </c>
      <c r="BL230" s="102" t="s">
        <v>2021</v>
      </c>
    </row>
    <row r="231" spans="2:64" ht="15" customHeight="1" x14ac:dyDescent="0.15">
      <c r="B231" s="76">
        <f>IF(AND(D204="STANDARD",OR(mrid_tipo="KA",mrid_tipo="KH")),mrid_qt,"-")</f>
        <v>2</v>
      </c>
      <c r="C231" s="184" t="str">
        <f>IF(B231="-","-",VLOOKUP(BB231,trad_termini,ID_lingua,FALSE))</f>
        <v>Torque Sensor</v>
      </c>
      <c r="D231" s="185"/>
      <c r="E231" s="197" t="s">
        <v>641</v>
      </c>
      <c r="F231" s="197"/>
      <c r="G231" s="197"/>
      <c r="H231" s="75" t="s">
        <v>2092</v>
      </c>
      <c r="I231" s="194"/>
      <c r="J231" s="211"/>
      <c r="K231" s="211"/>
      <c r="L231" s="195"/>
      <c r="N231" s="124" t="str">
        <f>IF(AND(B231&lt;&gt;"-",E231="-"),VLOOKUP(BL231,trad_termini,ID_lingua,FALSE),"")</f>
        <v/>
      </c>
      <c r="P231" s="118"/>
      <c r="Q231" s="118"/>
      <c r="R231" s="118"/>
      <c r="S231" s="119"/>
      <c r="AZ231" s="102">
        <v>231</v>
      </c>
      <c r="BA231" s="91" t="s">
        <v>1569</v>
      </c>
      <c r="BB231" s="91">
        <v>33</v>
      </c>
      <c r="BC231" s="91" t="s">
        <v>1569</v>
      </c>
      <c r="BD231" s="91" t="s">
        <v>1569</v>
      </c>
      <c r="BE231" s="91" t="s">
        <v>1569</v>
      </c>
      <c r="BF231" s="91" t="s">
        <v>1569</v>
      </c>
      <c r="BG231" s="91" t="s">
        <v>1569</v>
      </c>
      <c r="BH231" s="91" t="s">
        <v>1569</v>
      </c>
      <c r="BI231" s="91" t="s">
        <v>1569</v>
      </c>
      <c r="BJ231" s="91" t="s">
        <v>1569</v>
      </c>
      <c r="BK231" s="91" t="s">
        <v>1569</v>
      </c>
      <c r="BL231" s="102" t="s">
        <v>2021</v>
      </c>
    </row>
    <row r="232" spans="2:64" ht="15" customHeight="1" x14ac:dyDescent="0.15">
      <c r="B232" s="173" t="s">
        <v>40</v>
      </c>
      <c r="C232" s="213" t="str">
        <f>IF(cfg="ATEX",VLOOKUP(BB232,trad_termini,ID_lingua,FALSE),"-")</f>
        <v>Explosion Detection</v>
      </c>
      <c r="D232" s="214"/>
      <c r="E232" s="215" t="s">
        <v>40</v>
      </c>
      <c r="F232" s="216"/>
      <c r="G232" s="217"/>
      <c r="H232" s="75" t="s">
        <v>40</v>
      </c>
      <c r="I232" s="194"/>
      <c r="J232" s="211"/>
      <c r="K232" s="211"/>
      <c r="L232" s="195"/>
      <c r="N232" s="124" t="str">
        <f>IF(AND(C232&lt;&gt;"-",OR(B232="",E232="-")),VLOOKUP(BL232,trad_termini,ID_lingua,FALSE),"")</f>
        <v>PLEASE DEFINE THE SENSOR</v>
      </c>
      <c r="P232" s="118"/>
      <c r="Q232" s="118"/>
      <c r="R232" s="118"/>
      <c r="S232" s="119"/>
      <c r="AZ232" s="102">
        <v>232</v>
      </c>
      <c r="BA232" s="91" t="s">
        <v>1569</v>
      </c>
      <c r="BB232" s="91">
        <v>136</v>
      </c>
      <c r="BC232" s="91" t="s">
        <v>1569</v>
      </c>
      <c r="BD232" s="91" t="s">
        <v>1569</v>
      </c>
      <c r="BE232" s="91" t="s">
        <v>1569</v>
      </c>
      <c r="BF232" s="91" t="s">
        <v>1569</v>
      </c>
      <c r="BG232" s="91" t="s">
        <v>1569</v>
      </c>
      <c r="BH232" s="91" t="s">
        <v>1569</v>
      </c>
      <c r="BI232" s="91" t="s">
        <v>1569</v>
      </c>
      <c r="BJ232" s="91" t="s">
        <v>1569</v>
      </c>
      <c r="BK232" s="91" t="s">
        <v>1569</v>
      </c>
      <c r="BL232" s="102" t="s">
        <v>2021</v>
      </c>
    </row>
    <row r="233" spans="2:64" ht="15" customHeight="1" x14ac:dyDescent="0.15">
      <c r="B233" s="173" t="s">
        <v>40</v>
      </c>
      <c r="C233" s="184" t="str">
        <f>VLOOKUP(BB233,trad_termini,ID_lingua,FALSE)</f>
        <v>Level sensor</v>
      </c>
      <c r="D233" s="185"/>
      <c r="E233" s="197" t="s">
        <v>40</v>
      </c>
      <c r="F233" s="197"/>
      <c r="G233" s="197"/>
      <c r="H233" s="75"/>
      <c r="I233" s="194" t="str">
        <f>VLOOKUP(BD233,trad_termini,ID_lingua,FALSE)</f>
        <v>Installed in the discharge hopper</v>
      </c>
      <c r="J233" s="211"/>
      <c r="K233" s="211"/>
      <c r="L233" s="195"/>
      <c r="N233" s="124" t="str">
        <f>IF(AND(B233&lt;&gt;"-",E233="-"),VLOOKUP(BL233,trad_termini,ID_lingua,FALSE),"")</f>
        <v/>
      </c>
      <c r="P233" s="118"/>
      <c r="Q233" s="118"/>
      <c r="R233" s="118"/>
      <c r="S233" s="119"/>
      <c r="AZ233" s="102">
        <v>233</v>
      </c>
      <c r="BA233" s="91" t="s">
        <v>1569</v>
      </c>
      <c r="BB233" s="91">
        <v>184</v>
      </c>
      <c r="BC233" s="91" t="s">
        <v>1569</v>
      </c>
      <c r="BD233" s="91" t="s">
        <v>2065</v>
      </c>
      <c r="BE233" s="91" t="s">
        <v>1569</v>
      </c>
      <c r="BF233" s="91" t="s">
        <v>1569</v>
      </c>
      <c r="BG233" s="91" t="s">
        <v>1569</v>
      </c>
      <c r="BH233" s="91" t="s">
        <v>1569</v>
      </c>
      <c r="BI233" s="91" t="s">
        <v>1569</v>
      </c>
      <c r="BJ233" s="91" t="s">
        <v>1569</v>
      </c>
      <c r="BK233" s="91" t="s">
        <v>1569</v>
      </c>
      <c r="BL233" s="102" t="s">
        <v>2021</v>
      </c>
    </row>
    <row r="234" spans="2:64" ht="15" customHeight="1" x14ac:dyDescent="0.15">
      <c r="B234" s="75"/>
      <c r="C234" s="194"/>
      <c r="D234" s="195"/>
      <c r="E234" s="197"/>
      <c r="F234" s="197"/>
      <c r="G234" s="197"/>
      <c r="H234" s="75"/>
      <c r="I234" s="194"/>
      <c r="J234" s="211"/>
      <c r="K234" s="211"/>
      <c r="L234" s="195"/>
      <c r="N234" s="117"/>
      <c r="P234" s="118"/>
      <c r="Q234" s="118"/>
      <c r="R234" s="118"/>
      <c r="S234" s="119"/>
      <c r="AZ234" s="102">
        <v>234</v>
      </c>
      <c r="BA234" s="91" t="s">
        <v>1569</v>
      </c>
      <c r="BB234" s="91" t="s">
        <v>1569</v>
      </c>
      <c r="BC234" s="91" t="s">
        <v>1569</v>
      </c>
      <c r="BD234" s="91" t="s">
        <v>1569</v>
      </c>
      <c r="BE234" s="91" t="s">
        <v>1569</v>
      </c>
      <c r="BF234" s="91" t="s">
        <v>1569</v>
      </c>
      <c r="BG234" s="91" t="s">
        <v>1569</v>
      </c>
      <c r="BH234" s="91" t="s">
        <v>1569</v>
      </c>
      <c r="BI234" s="91" t="s">
        <v>1569</v>
      </c>
      <c r="BJ234" s="91" t="s">
        <v>1569</v>
      </c>
      <c r="BK234" s="91" t="s">
        <v>1569</v>
      </c>
      <c r="BL234" s="102"/>
    </row>
    <row r="235" spans="2:64" ht="15" customHeight="1" x14ac:dyDescent="0.15">
      <c r="N235" s="117"/>
      <c r="P235" s="118"/>
      <c r="Q235" s="118"/>
      <c r="R235" s="118"/>
      <c r="S235" s="119"/>
      <c r="AZ235" s="102">
        <v>235</v>
      </c>
      <c r="BA235" s="91" t="s">
        <v>1569</v>
      </c>
      <c r="BB235" s="91" t="s">
        <v>1569</v>
      </c>
      <c r="BC235" s="91" t="s">
        <v>1569</v>
      </c>
      <c r="BD235" s="91" t="s">
        <v>1569</v>
      </c>
      <c r="BE235" s="91" t="s">
        <v>1569</v>
      </c>
      <c r="BF235" s="91" t="s">
        <v>1569</v>
      </c>
      <c r="BG235" s="91" t="s">
        <v>1569</v>
      </c>
      <c r="BH235" s="91" t="s">
        <v>1569</v>
      </c>
      <c r="BI235" s="91" t="s">
        <v>1569</v>
      </c>
      <c r="BJ235" s="91" t="s">
        <v>1569</v>
      </c>
      <c r="BK235" s="91" t="s">
        <v>1569</v>
      </c>
      <c r="BL235" s="102"/>
    </row>
    <row r="236" spans="2:64" ht="15" customHeight="1" x14ac:dyDescent="0.15">
      <c r="B236" s="142" t="str">
        <f>VLOOKUP(BA236,trad_termini,ID_lingua,FALSE)</f>
        <v>Sprinklers</v>
      </c>
      <c r="G236" s="142" t="str">
        <f>VLOOKUP(BF236,trad_termini,ID_lingua,FALSE)</f>
        <v>Fire Prevention Accessories</v>
      </c>
      <c r="N236" s="117"/>
      <c r="P236" s="118"/>
      <c r="Q236" s="118"/>
      <c r="R236" s="118"/>
      <c r="S236" s="119"/>
      <c r="AZ236" s="102">
        <v>236</v>
      </c>
      <c r="BA236" s="91">
        <v>157</v>
      </c>
      <c r="BB236" s="91" t="s">
        <v>1569</v>
      </c>
      <c r="BC236" s="91" t="s">
        <v>1569</v>
      </c>
      <c r="BD236" s="91" t="s">
        <v>1569</v>
      </c>
      <c r="BE236" s="91" t="s">
        <v>1569</v>
      </c>
      <c r="BF236" s="91">
        <v>3</v>
      </c>
      <c r="BG236" s="91" t="s">
        <v>1569</v>
      </c>
      <c r="BH236" s="91" t="s">
        <v>1569</v>
      </c>
      <c r="BI236" s="91" t="s">
        <v>1569</v>
      </c>
      <c r="BJ236" s="91" t="s">
        <v>1569</v>
      </c>
      <c r="BK236" s="91" t="s">
        <v>1569</v>
      </c>
      <c r="BL236" s="102"/>
    </row>
    <row r="237" spans="2:64" ht="15" customHeight="1" x14ac:dyDescent="0.15">
      <c r="B237" s="91" t="str">
        <f>VLOOKUP(BA237,trad_termini,ID_lingua,FALSE)</f>
        <v>Tot. Qty</v>
      </c>
      <c r="C237" s="188" t="str">
        <f>VLOOKUP(BB237,trad_termini,ID_lingua,FALSE)</f>
        <v>Type</v>
      </c>
      <c r="D237" s="188"/>
      <c r="E237" s="91" t="str">
        <f>VLOOKUP(BD237,trad_termini,ID_lingua,FALSE)</f>
        <v>Driving Head</v>
      </c>
      <c r="N237" s="117"/>
      <c r="P237" s="118"/>
      <c r="Q237" s="118"/>
      <c r="R237" s="118"/>
      <c r="S237" s="119"/>
      <c r="AZ237" s="102">
        <v>237</v>
      </c>
      <c r="BA237" s="91">
        <v>130</v>
      </c>
      <c r="BB237" s="91">
        <v>168</v>
      </c>
      <c r="BC237" s="91" t="s">
        <v>1569</v>
      </c>
      <c r="BD237" s="91">
        <v>26</v>
      </c>
      <c r="BE237" s="91" t="s">
        <v>1569</v>
      </c>
      <c r="BF237" s="91" t="s">
        <v>1569</v>
      </c>
      <c r="BG237" s="91" t="s">
        <v>1569</v>
      </c>
      <c r="BH237" s="91" t="s">
        <v>1569</v>
      </c>
      <c r="BI237" s="91" t="s">
        <v>1569</v>
      </c>
      <c r="BJ237" s="91" t="s">
        <v>1569</v>
      </c>
      <c r="BK237" s="91" t="s">
        <v>1569</v>
      </c>
      <c r="BL237" s="102"/>
    </row>
    <row r="238" spans="2:64" ht="15" customHeight="1" x14ac:dyDescent="0.15">
      <c r="B238" s="75">
        <v>6</v>
      </c>
      <c r="C238" s="196" t="s">
        <v>2093</v>
      </c>
      <c r="D238" s="196"/>
      <c r="E238" s="75" t="s">
        <v>72</v>
      </c>
      <c r="G238" s="202"/>
      <c r="H238" s="203"/>
      <c r="I238" s="203"/>
      <c r="J238" s="203"/>
      <c r="K238" s="203"/>
      <c r="L238" s="204"/>
      <c r="N238" s="124" t="str">
        <f>IF(AND(B238&lt;&gt;"-",E238="-"),VLOOKUP(BL238,trad_termini,ID_lingua,FALSE),"")</f>
        <v/>
      </c>
      <c r="P238" s="118"/>
      <c r="Q238" s="118"/>
      <c r="R238" s="118"/>
      <c r="S238" s="119"/>
      <c r="AZ238" s="102">
        <v>238</v>
      </c>
      <c r="BA238" s="91" t="s">
        <v>1569</v>
      </c>
      <c r="BB238" s="91" t="s">
        <v>1569</v>
      </c>
      <c r="BC238" s="91" t="s">
        <v>1569</v>
      </c>
      <c r="BD238" s="138" t="s">
        <v>1569</v>
      </c>
      <c r="BE238" s="91" t="s">
        <v>1569</v>
      </c>
      <c r="BF238" s="91" t="s">
        <v>1569</v>
      </c>
      <c r="BG238" s="91" t="s">
        <v>1569</v>
      </c>
      <c r="BH238" s="91" t="s">
        <v>1569</v>
      </c>
      <c r="BI238" s="91" t="s">
        <v>1569</v>
      </c>
      <c r="BJ238" s="91" t="s">
        <v>1569</v>
      </c>
      <c r="BK238" s="91" t="s">
        <v>1569</v>
      </c>
      <c r="BL238" s="102" t="s">
        <v>2022</v>
      </c>
    </row>
    <row r="239" spans="2:64" ht="15" customHeight="1" x14ac:dyDescent="0.15">
      <c r="G239" s="205"/>
      <c r="H239" s="206"/>
      <c r="I239" s="206"/>
      <c r="J239" s="206"/>
      <c r="K239" s="206"/>
      <c r="L239" s="207"/>
      <c r="N239" s="117"/>
      <c r="P239" s="118"/>
      <c r="Q239" s="118"/>
      <c r="R239" s="118"/>
      <c r="S239" s="119"/>
      <c r="AZ239" s="102">
        <v>239</v>
      </c>
      <c r="BA239" s="91" t="s">
        <v>1569</v>
      </c>
      <c r="BB239" s="91" t="s">
        <v>1569</v>
      </c>
      <c r="BC239" s="91" t="s">
        <v>1569</v>
      </c>
      <c r="BD239" s="91" t="s">
        <v>1569</v>
      </c>
      <c r="BE239" s="91" t="s">
        <v>1569</v>
      </c>
      <c r="BF239" s="91" t="s">
        <v>1569</v>
      </c>
      <c r="BG239" s="91" t="s">
        <v>1569</v>
      </c>
      <c r="BH239" s="91" t="s">
        <v>1569</v>
      </c>
      <c r="BI239" s="91" t="s">
        <v>1569</v>
      </c>
      <c r="BJ239" s="91" t="s">
        <v>1569</v>
      </c>
      <c r="BK239" s="91" t="s">
        <v>1569</v>
      </c>
      <c r="BL239" s="102"/>
    </row>
    <row r="240" spans="2:64" ht="15" customHeight="1" x14ac:dyDescent="0.15">
      <c r="B240" s="142" t="str">
        <f>VLOOKUP(BA240,trad_termini,ID_lingua,FALSE)</f>
        <v>Sprinkler Holders</v>
      </c>
      <c r="G240" s="205"/>
      <c r="H240" s="206"/>
      <c r="I240" s="206"/>
      <c r="J240" s="206"/>
      <c r="K240" s="206"/>
      <c r="L240" s="207"/>
      <c r="N240" s="117"/>
      <c r="P240" s="118"/>
      <c r="Q240" s="118"/>
      <c r="R240" s="118"/>
      <c r="S240" s="119"/>
      <c r="AZ240" s="102">
        <v>240</v>
      </c>
      <c r="BA240" s="91">
        <v>10</v>
      </c>
      <c r="BB240" s="91" t="s">
        <v>1569</v>
      </c>
      <c r="BC240" s="91" t="s">
        <v>1569</v>
      </c>
      <c r="BD240" s="91" t="s">
        <v>1569</v>
      </c>
      <c r="BE240" s="91" t="s">
        <v>1569</v>
      </c>
      <c r="BF240" s="91" t="s">
        <v>1569</v>
      </c>
      <c r="BG240" s="91" t="s">
        <v>1569</v>
      </c>
      <c r="BH240" s="91" t="s">
        <v>1569</v>
      </c>
      <c r="BI240" s="91" t="s">
        <v>1569</v>
      </c>
      <c r="BJ240" s="91" t="s">
        <v>1569</v>
      </c>
      <c r="BK240" s="91" t="s">
        <v>1569</v>
      </c>
      <c r="BL240" s="102"/>
    </row>
    <row r="241" spans="2:64" ht="15" customHeight="1" x14ac:dyDescent="0.15">
      <c r="B241" s="91" t="str">
        <f>VLOOKUP(BA241,trad_termini,ID_lingua,FALSE)</f>
        <v>Qty</v>
      </c>
      <c r="C241" s="188" t="str">
        <f>VLOOKUP(BB241,trad_termini,ID_lingua,FALSE)</f>
        <v>Drawing</v>
      </c>
      <c r="D241" s="188"/>
      <c r="G241" s="205"/>
      <c r="H241" s="206"/>
      <c r="I241" s="206"/>
      <c r="J241" s="206"/>
      <c r="K241" s="206"/>
      <c r="L241" s="207"/>
      <c r="N241" s="117"/>
      <c r="P241" s="118"/>
      <c r="Q241" s="118"/>
      <c r="R241" s="118"/>
      <c r="S241" s="119"/>
      <c r="AZ241" s="102">
        <v>241</v>
      </c>
      <c r="BA241" s="91">
        <v>128</v>
      </c>
      <c r="BB241" s="91">
        <v>57</v>
      </c>
      <c r="BC241" s="91" t="s">
        <v>1569</v>
      </c>
      <c r="BD241" s="91" t="s">
        <v>1569</v>
      </c>
      <c r="BE241" s="91" t="s">
        <v>1569</v>
      </c>
      <c r="BF241" s="91" t="s">
        <v>1569</v>
      </c>
      <c r="BG241" s="91" t="s">
        <v>1569</v>
      </c>
      <c r="BH241" s="91" t="s">
        <v>1569</v>
      </c>
      <c r="BI241" s="91" t="s">
        <v>1569</v>
      </c>
      <c r="BJ241" s="91" t="s">
        <v>1569</v>
      </c>
      <c r="BK241" s="91" t="s">
        <v>1569</v>
      </c>
      <c r="BL241" s="102"/>
    </row>
    <row r="242" spans="2:64" ht="15" customHeight="1" x14ac:dyDescent="0.15">
      <c r="B242" s="76">
        <f>IF(AND(B238&lt;&gt;"-",E238="SI"),B238-1,IF(AND(B238&lt;&gt;"-",E238="NO"),B238,"-"))</f>
        <v>6</v>
      </c>
      <c r="C242" s="197" t="str">
        <f>IF(AND(B242&lt;&gt;"-",B242&gt;0),"014.00.01.01.90.00","-")</f>
        <v>014.00.01.01.90.00</v>
      </c>
      <c r="D242" s="197"/>
      <c r="G242" s="205"/>
      <c r="H242" s="206"/>
      <c r="I242" s="206"/>
      <c r="J242" s="206"/>
      <c r="K242" s="206"/>
      <c r="L242" s="207"/>
      <c r="N242" s="117"/>
      <c r="P242" s="118"/>
      <c r="Q242" s="118"/>
      <c r="R242" s="118"/>
      <c r="S242" s="119"/>
      <c r="AZ242" s="102">
        <v>242</v>
      </c>
      <c r="BA242" s="91" t="s">
        <v>1569</v>
      </c>
      <c r="BB242" s="91" t="s">
        <v>1569</v>
      </c>
      <c r="BC242" s="91" t="s">
        <v>1569</v>
      </c>
      <c r="BD242" s="91" t="s">
        <v>1569</v>
      </c>
      <c r="BE242" s="91" t="s">
        <v>1569</v>
      </c>
      <c r="BF242" s="91" t="s">
        <v>1569</v>
      </c>
      <c r="BG242" s="91" t="s">
        <v>1569</v>
      </c>
      <c r="BH242" s="91" t="s">
        <v>1569</v>
      </c>
      <c r="BI242" s="91" t="s">
        <v>1569</v>
      </c>
      <c r="BJ242" s="91" t="s">
        <v>1569</v>
      </c>
      <c r="BK242" s="91" t="s">
        <v>1569</v>
      </c>
      <c r="BL242" s="102"/>
    </row>
    <row r="243" spans="2:64" ht="15" customHeight="1" x14ac:dyDescent="0.15">
      <c r="B243" s="175"/>
      <c r="C243" s="175"/>
      <c r="D243" s="175"/>
      <c r="G243" s="205"/>
      <c r="H243" s="206"/>
      <c r="I243" s="206"/>
      <c r="J243" s="206"/>
      <c r="K243" s="206"/>
      <c r="L243" s="207"/>
      <c r="N243" s="117"/>
      <c r="P243" s="118"/>
      <c r="Q243" s="118"/>
      <c r="R243" s="118"/>
      <c r="S243" s="119"/>
      <c r="AZ243" s="102">
        <v>243</v>
      </c>
      <c r="BA243" s="91" t="s">
        <v>1569</v>
      </c>
      <c r="BB243" s="91" t="s">
        <v>1569</v>
      </c>
      <c r="BC243" s="91" t="s">
        <v>1569</v>
      </c>
      <c r="BD243" s="91" t="s">
        <v>1569</v>
      </c>
      <c r="BE243" s="91" t="s">
        <v>1569</v>
      </c>
      <c r="BF243" s="91" t="s">
        <v>1569</v>
      </c>
      <c r="BG243" s="91" t="s">
        <v>1569</v>
      </c>
      <c r="BH243" s="91" t="s">
        <v>1569</v>
      </c>
      <c r="BI243" s="91" t="s">
        <v>1569</v>
      </c>
      <c r="BJ243" s="91" t="s">
        <v>1569</v>
      </c>
      <c r="BK243" s="91" t="s">
        <v>1569</v>
      </c>
      <c r="BL243" s="102"/>
    </row>
    <row r="244" spans="2:64" ht="15" customHeight="1" x14ac:dyDescent="0.15">
      <c r="B244" s="142" t="str">
        <f>VLOOKUP(BA244,trad_termini,ID_lingua,FALSE)</f>
        <v>Sprinkler Plates</v>
      </c>
      <c r="G244" s="205"/>
      <c r="H244" s="206"/>
      <c r="I244" s="206"/>
      <c r="J244" s="206"/>
      <c r="K244" s="206"/>
      <c r="L244" s="207"/>
      <c r="N244" s="117"/>
      <c r="P244" s="118"/>
      <c r="Q244" s="118"/>
      <c r="R244" s="118"/>
      <c r="S244" s="119"/>
      <c r="AZ244" s="102">
        <v>244</v>
      </c>
      <c r="BA244" s="91">
        <v>122</v>
      </c>
      <c r="BB244" s="91" t="s">
        <v>1569</v>
      </c>
      <c r="BC244" s="91" t="s">
        <v>1569</v>
      </c>
      <c r="BD244" s="91" t="s">
        <v>1569</v>
      </c>
      <c r="BE244" s="91" t="s">
        <v>1569</v>
      </c>
      <c r="BF244" s="91" t="s">
        <v>1569</v>
      </c>
      <c r="BG244" s="91" t="s">
        <v>1569</v>
      </c>
      <c r="BH244" s="91" t="s">
        <v>1569</v>
      </c>
      <c r="BI244" s="91" t="s">
        <v>1569</v>
      </c>
      <c r="BJ244" s="91" t="s">
        <v>1569</v>
      </c>
      <c r="BK244" s="91" t="s">
        <v>1569</v>
      </c>
      <c r="BL244" s="102"/>
    </row>
    <row r="245" spans="2:64" ht="15" customHeight="1" x14ac:dyDescent="0.15">
      <c r="B245" s="91" t="str">
        <f>VLOOKUP(BA245,trad_termini,ID_lingua,FALSE)</f>
        <v>Qty</v>
      </c>
      <c r="C245" s="188" t="str">
        <f>VLOOKUP(BB245,trad_termini,ID_lingua,FALSE)</f>
        <v>Drawing</v>
      </c>
      <c r="D245" s="188"/>
      <c r="G245" s="205"/>
      <c r="H245" s="206"/>
      <c r="I245" s="206"/>
      <c r="J245" s="206"/>
      <c r="K245" s="206"/>
      <c r="L245" s="207"/>
      <c r="N245" s="117"/>
      <c r="P245" s="118"/>
      <c r="Q245" s="118"/>
      <c r="R245" s="118"/>
      <c r="S245" s="119"/>
      <c r="AZ245" s="102">
        <v>245</v>
      </c>
      <c r="BA245" s="91">
        <v>128</v>
      </c>
      <c r="BB245" s="91">
        <v>57</v>
      </c>
      <c r="BC245" s="91" t="s">
        <v>1569</v>
      </c>
      <c r="BD245" s="91" t="s">
        <v>1569</v>
      </c>
      <c r="BE245" s="91" t="s">
        <v>1569</v>
      </c>
      <c r="BF245" s="91" t="s">
        <v>1569</v>
      </c>
      <c r="BG245" s="91" t="s">
        <v>1569</v>
      </c>
      <c r="BH245" s="91" t="s">
        <v>1569</v>
      </c>
      <c r="BI245" s="91" t="s">
        <v>1569</v>
      </c>
      <c r="BJ245" s="91" t="s">
        <v>1569</v>
      </c>
      <c r="BK245" s="91" t="s">
        <v>1569</v>
      </c>
      <c r="BL245" s="102"/>
    </row>
    <row r="246" spans="2:64" ht="15" customHeight="1" x14ac:dyDescent="0.15">
      <c r="B246" s="76" t="str">
        <f>IF(E238="SI",1,"-")</f>
        <v>-</v>
      </c>
      <c r="C246" s="197" t="str">
        <f>IF(AND(B246&lt;&gt;"-",B246&gt;0),"R003690","-")</f>
        <v>-</v>
      </c>
      <c r="D246" s="197"/>
      <c r="G246" s="208"/>
      <c r="H246" s="209"/>
      <c r="I246" s="209"/>
      <c r="J246" s="209"/>
      <c r="K246" s="209"/>
      <c r="L246" s="210"/>
      <c r="N246" s="117"/>
      <c r="P246" s="118"/>
      <c r="Q246" s="118"/>
      <c r="R246" s="118"/>
      <c r="S246" s="119"/>
      <c r="AZ246" s="102">
        <v>246</v>
      </c>
      <c r="BA246" s="91" t="s">
        <v>1569</v>
      </c>
      <c r="BB246" s="91" t="s">
        <v>1569</v>
      </c>
      <c r="BC246" s="91" t="s">
        <v>1569</v>
      </c>
      <c r="BD246" s="91" t="s">
        <v>1569</v>
      </c>
      <c r="BE246" s="91" t="s">
        <v>1569</v>
      </c>
      <c r="BF246" s="91" t="s">
        <v>1569</v>
      </c>
      <c r="BG246" s="91" t="s">
        <v>1569</v>
      </c>
      <c r="BH246" s="91" t="s">
        <v>1569</v>
      </c>
      <c r="BI246" s="91" t="s">
        <v>1569</v>
      </c>
      <c r="BJ246" s="91" t="s">
        <v>1569</v>
      </c>
      <c r="BK246" s="91" t="s">
        <v>1569</v>
      </c>
      <c r="BL246" s="102"/>
    </row>
    <row r="247" spans="2:64" ht="15" customHeight="1" x14ac:dyDescent="0.15">
      <c r="B247" s="176"/>
      <c r="C247" s="176"/>
      <c r="D247" s="176"/>
      <c r="G247" s="174"/>
      <c r="H247" s="174"/>
      <c r="I247" s="174"/>
      <c r="J247" s="174"/>
      <c r="K247" s="174"/>
      <c r="L247" s="174"/>
      <c r="N247" s="117"/>
      <c r="P247" s="118"/>
      <c r="Q247" s="118"/>
      <c r="R247" s="118"/>
      <c r="S247" s="119"/>
      <c r="AZ247" s="102">
        <v>247</v>
      </c>
      <c r="BA247" s="91" t="s">
        <v>1569</v>
      </c>
      <c r="BB247" s="91" t="s">
        <v>1569</v>
      </c>
      <c r="BC247" s="91" t="s">
        <v>1569</v>
      </c>
      <c r="BD247" s="91" t="s">
        <v>1569</v>
      </c>
      <c r="BE247" s="91" t="s">
        <v>1569</v>
      </c>
      <c r="BF247" s="91" t="s">
        <v>1569</v>
      </c>
      <c r="BG247" s="91" t="s">
        <v>1569</v>
      </c>
      <c r="BH247" s="91" t="s">
        <v>1569</v>
      </c>
      <c r="BI247" s="91" t="s">
        <v>1569</v>
      </c>
      <c r="BJ247" s="91" t="s">
        <v>1569</v>
      </c>
      <c r="BK247" s="91" t="s">
        <v>1569</v>
      </c>
      <c r="BL247" s="102"/>
    </row>
    <row r="248" spans="2:64" ht="15" customHeight="1" x14ac:dyDescent="0.15">
      <c r="N248" s="117"/>
      <c r="P248" s="118"/>
      <c r="Q248" s="118"/>
      <c r="R248" s="118"/>
      <c r="S248" s="119"/>
      <c r="AZ248" s="102">
        <v>248</v>
      </c>
      <c r="BA248" s="91" t="s">
        <v>1569</v>
      </c>
      <c r="BB248" s="91" t="s">
        <v>1569</v>
      </c>
      <c r="BC248" s="91" t="s">
        <v>1569</v>
      </c>
      <c r="BD248" s="91" t="s">
        <v>1569</v>
      </c>
      <c r="BE248" s="91" t="s">
        <v>1569</v>
      </c>
      <c r="BF248" s="91" t="s">
        <v>1569</v>
      </c>
      <c r="BG248" s="91" t="s">
        <v>1569</v>
      </c>
      <c r="BH248" s="91" t="s">
        <v>1569</v>
      </c>
      <c r="BI248" s="91" t="s">
        <v>1569</v>
      </c>
      <c r="BJ248" s="91" t="s">
        <v>1569</v>
      </c>
      <c r="BK248" s="91" t="s">
        <v>1569</v>
      </c>
      <c r="BL248" s="102"/>
    </row>
    <row r="249" spans="2:64" ht="15" customHeight="1" x14ac:dyDescent="0.15">
      <c r="B249" s="142" t="str">
        <f>VLOOKUP(BA249,trad_termini,ID_lingua,FALSE)</f>
        <v>Bursting Panels</v>
      </c>
      <c r="N249" s="117"/>
      <c r="P249" s="118"/>
      <c r="Q249" s="118"/>
      <c r="R249" s="118"/>
      <c r="S249" s="119"/>
      <c r="AZ249" s="102">
        <v>249</v>
      </c>
      <c r="BA249" s="91">
        <v>117</v>
      </c>
      <c r="BB249" s="91" t="s">
        <v>1569</v>
      </c>
      <c r="BC249" s="91" t="s">
        <v>1569</v>
      </c>
      <c r="BD249" s="91" t="s">
        <v>1569</v>
      </c>
      <c r="BE249" s="91" t="s">
        <v>1569</v>
      </c>
      <c r="BF249" s="91" t="s">
        <v>1569</v>
      </c>
      <c r="BG249" s="91" t="s">
        <v>1569</v>
      </c>
      <c r="BH249" s="91" t="s">
        <v>1569</v>
      </c>
      <c r="BI249" s="91" t="s">
        <v>1569</v>
      </c>
      <c r="BJ249" s="91" t="s">
        <v>1569</v>
      </c>
      <c r="BK249" s="91" t="s">
        <v>1569</v>
      </c>
      <c r="BL249" s="102"/>
    </row>
    <row r="250" spans="2:64" ht="15" customHeight="1" x14ac:dyDescent="0.15">
      <c r="B250" s="121"/>
      <c r="N250" s="117"/>
      <c r="P250" s="118"/>
      <c r="Q250" s="118"/>
      <c r="R250" s="118"/>
      <c r="S250" s="119"/>
      <c r="AZ250" s="102">
        <v>250</v>
      </c>
      <c r="BA250" s="91" t="s">
        <v>1569</v>
      </c>
      <c r="BB250" s="91" t="s">
        <v>1569</v>
      </c>
      <c r="BC250" s="91" t="s">
        <v>1569</v>
      </c>
      <c r="BD250" s="91" t="s">
        <v>1569</v>
      </c>
      <c r="BE250" s="91" t="s">
        <v>1569</v>
      </c>
      <c r="BF250" s="91" t="s">
        <v>1569</v>
      </c>
      <c r="BG250" s="91" t="s">
        <v>1569</v>
      </c>
      <c r="BH250" s="91" t="s">
        <v>1569</v>
      </c>
      <c r="BI250" s="91" t="s">
        <v>1569</v>
      </c>
      <c r="BJ250" s="91" t="s">
        <v>1569</v>
      </c>
      <c r="BK250" s="91" t="s">
        <v>1569</v>
      </c>
      <c r="BL250" s="102"/>
    </row>
    <row r="251" spans="2:64" ht="15" customHeight="1" x14ac:dyDescent="0.15">
      <c r="B251" s="91" t="str">
        <f>VLOOKUP(BA251,trad_termini,ID_lingua,FALSE)</f>
        <v>Cover</v>
      </c>
      <c r="N251" s="117"/>
      <c r="P251" s="118"/>
      <c r="Q251" s="118"/>
      <c r="R251" s="118"/>
      <c r="S251" s="119"/>
      <c r="AZ251" s="102">
        <v>251</v>
      </c>
      <c r="BA251" s="91">
        <v>38</v>
      </c>
      <c r="BB251" s="91" t="s">
        <v>1569</v>
      </c>
      <c r="BC251" s="91" t="s">
        <v>1569</v>
      </c>
      <c r="BD251" s="91" t="s">
        <v>1569</v>
      </c>
      <c r="BE251" s="91" t="s">
        <v>1569</v>
      </c>
      <c r="BF251" s="91" t="s">
        <v>1569</v>
      </c>
      <c r="BG251" s="91" t="s">
        <v>1569</v>
      </c>
      <c r="BH251" s="91" t="s">
        <v>1569</v>
      </c>
      <c r="BI251" s="91" t="s">
        <v>1569</v>
      </c>
      <c r="BJ251" s="91" t="s">
        <v>1569</v>
      </c>
      <c r="BK251" s="91" t="s">
        <v>1569</v>
      </c>
      <c r="BL251" s="102"/>
    </row>
    <row r="252" spans="2:64" ht="15" customHeight="1" x14ac:dyDescent="0.15">
      <c r="B252" s="177" t="s">
        <v>40</v>
      </c>
      <c r="N252" s="117"/>
      <c r="P252" s="118"/>
      <c r="Q252" s="118"/>
      <c r="R252" s="118"/>
      <c r="S252" s="119"/>
      <c r="AZ252" s="102">
        <v>252</v>
      </c>
      <c r="BA252" s="91" t="s">
        <v>1569</v>
      </c>
      <c r="BB252" s="91" t="s">
        <v>1569</v>
      </c>
      <c r="BC252" s="91" t="s">
        <v>1569</v>
      </c>
      <c r="BD252" s="91" t="s">
        <v>1569</v>
      </c>
      <c r="BE252" s="91" t="s">
        <v>1569</v>
      </c>
      <c r="BF252" s="91" t="s">
        <v>1569</v>
      </c>
      <c r="BG252" s="91" t="s">
        <v>1569</v>
      </c>
      <c r="BH252" s="91" t="s">
        <v>1569</v>
      </c>
      <c r="BI252" s="91" t="s">
        <v>1569</v>
      </c>
      <c r="BJ252" s="91" t="s">
        <v>1569</v>
      </c>
      <c r="BK252" s="91" t="s">
        <v>1569</v>
      </c>
      <c r="BL252" s="102"/>
    </row>
    <row r="253" spans="2:64" ht="15" customHeight="1" x14ac:dyDescent="0.15">
      <c r="B253" s="121"/>
      <c r="N253" s="117"/>
      <c r="P253" s="118"/>
      <c r="Q253" s="118"/>
      <c r="R253" s="118"/>
      <c r="S253" s="119"/>
      <c r="AZ253" s="102">
        <v>253</v>
      </c>
      <c r="BA253" s="91" t="s">
        <v>1569</v>
      </c>
      <c r="BB253" s="91" t="s">
        <v>1569</v>
      </c>
      <c r="BC253" s="91" t="s">
        <v>1569</v>
      </c>
      <c r="BD253" s="91" t="s">
        <v>1569</v>
      </c>
      <c r="BE253" s="91" t="s">
        <v>1569</v>
      </c>
      <c r="BF253" s="91" t="s">
        <v>1569</v>
      </c>
      <c r="BG253" s="91" t="s">
        <v>1569</v>
      </c>
      <c r="BH253" s="91" t="s">
        <v>1569</v>
      </c>
      <c r="BI253" s="91" t="s">
        <v>1569</v>
      </c>
      <c r="BJ253" s="91" t="s">
        <v>1569</v>
      </c>
      <c r="BK253" s="91" t="s">
        <v>1569</v>
      </c>
      <c r="BL253" s="102"/>
    </row>
    <row r="254" spans="2:64" ht="15" customHeight="1" x14ac:dyDescent="0.15">
      <c r="B254" s="178" t="s">
        <v>273</v>
      </c>
      <c r="N254" s="117"/>
      <c r="P254" s="118"/>
      <c r="Q254" s="118"/>
      <c r="R254" s="118"/>
      <c r="S254" s="119"/>
      <c r="AZ254" s="102">
        <v>254</v>
      </c>
      <c r="BA254" s="91" t="s">
        <v>1569</v>
      </c>
      <c r="BB254" s="91" t="s">
        <v>1569</v>
      </c>
      <c r="BC254" s="91" t="s">
        <v>1569</v>
      </c>
      <c r="BD254" s="91" t="s">
        <v>1569</v>
      </c>
      <c r="BE254" s="91" t="s">
        <v>1569</v>
      </c>
      <c r="BF254" s="91" t="s">
        <v>1569</v>
      </c>
      <c r="BG254" s="91" t="s">
        <v>1569</v>
      </c>
      <c r="BH254" s="91" t="s">
        <v>1569</v>
      </c>
      <c r="BI254" s="91" t="s">
        <v>1569</v>
      </c>
      <c r="BJ254" s="91" t="s">
        <v>1569</v>
      </c>
      <c r="BK254" s="91" t="s">
        <v>1569</v>
      </c>
      <c r="BL254" s="102"/>
    </row>
    <row r="255" spans="2:64" ht="15" customHeight="1" x14ac:dyDescent="0.15">
      <c r="B255" s="91" t="str">
        <f>VLOOKUP(BA255,trad_termini,ID_lingua,FALSE)</f>
        <v>Qty</v>
      </c>
      <c r="C255" s="91" t="str">
        <f>VLOOKUP(BB255,trad_termini,ID_lingua,FALSE)</f>
        <v>Type</v>
      </c>
      <c r="D255" s="91"/>
      <c r="E255" s="188"/>
      <c r="F255" s="188"/>
      <c r="G255" s="188"/>
      <c r="H255" s="188"/>
      <c r="I255" s="188"/>
      <c r="J255" s="188"/>
      <c r="K255" s="188"/>
      <c r="L255" s="188"/>
      <c r="N255" s="117"/>
      <c r="P255" s="118"/>
      <c r="Q255" s="118"/>
      <c r="R255" s="119"/>
      <c r="S255" s="119"/>
      <c r="Y255" s="91" t="s">
        <v>718</v>
      </c>
      <c r="AZ255" s="102">
        <v>255</v>
      </c>
      <c r="BA255" s="91">
        <v>128</v>
      </c>
      <c r="BB255" s="91">
        <v>168</v>
      </c>
      <c r="BC255" s="91" t="s">
        <v>1569</v>
      </c>
      <c r="BD255" s="91" t="s">
        <v>1569</v>
      </c>
      <c r="BE255" s="91" t="s">
        <v>1569</v>
      </c>
      <c r="BF255" s="91" t="s">
        <v>1569</v>
      </c>
      <c r="BG255" s="91" t="s">
        <v>1569</v>
      </c>
      <c r="BH255" s="91" t="s">
        <v>1569</v>
      </c>
      <c r="BI255" s="91" t="s">
        <v>1569</v>
      </c>
      <c r="BJ255" s="91" t="s">
        <v>1569</v>
      </c>
      <c r="BK255" s="91" t="s">
        <v>1569</v>
      </c>
      <c r="BL255" s="102"/>
    </row>
    <row r="256" spans="2:64" ht="15" customHeight="1" x14ac:dyDescent="0.15">
      <c r="B256" s="75">
        <v>0</v>
      </c>
      <c r="C256" s="76" t="str">
        <f>IF($B$256&gt;0,VLOOKUP(mod_base,macchina_dati,31,FALSE),"-")</f>
        <v>-</v>
      </c>
      <c r="D256" s="91"/>
      <c r="E256" s="192"/>
      <c r="F256" s="192"/>
      <c r="G256" s="192"/>
      <c r="H256" s="192"/>
      <c r="I256" s="192"/>
      <c r="J256" s="192"/>
      <c r="K256" s="192"/>
      <c r="L256" s="192"/>
      <c r="N256" s="117"/>
      <c r="P256" s="118"/>
      <c r="Q256" s="118"/>
      <c r="R256" s="119"/>
      <c r="S256" s="119"/>
      <c r="Y256" s="76">
        <f>IF(B260=0,B256,B260)</f>
        <v>0</v>
      </c>
      <c r="AZ256" s="102">
        <v>256</v>
      </c>
      <c r="BA256" s="91" t="s">
        <v>1569</v>
      </c>
      <c r="BB256" s="91" t="s">
        <v>1569</v>
      </c>
      <c r="BC256" s="91" t="s">
        <v>1569</v>
      </c>
      <c r="BD256" s="91" t="s">
        <v>1569</v>
      </c>
      <c r="BE256" s="91" t="s">
        <v>1569</v>
      </c>
      <c r="BF256" s="91" t="s">
        <v>1569</v>
      </c>
      <c r="BG256" s="91" t="s">
        <v>1569</v>
      </c>
      <c r="BH256" s="91" t="s">
        <v>1569</v>
      </c>
      <c r="BI256" s="91" t="s">
        <v>1569</v>
      </c>
      <c r="BJ256" s="91" t="s">
        <v>1569</v>
      </c>
      <c r="BK256" s="91" t="s">
        <v>1569</v>
      </c>
      <c r="BL256" s="102"/>
    </row>
    <row r="257" spans="2:64" ht="15" customHeight="1" x14ac:dyDescent="0.15">
      <c r="B257" s="147"/>
      <c r="C257" s="147"/>
      <c r="D257" s="91"/>
      <c r="E257" s="192"/>
      <c r="F257" s="192"/>
      <c r="G257" s="192"/>
      <c r="H257" s="192"/>
      <c r="I257" s="192"/>
      <c r="J257" s="192"/>
      <c r="K257" s="192"/>
      <c r="L257" s="192"/>
      <c r="N257" s="117"/>
      <c r="P257" s="118"/>
      <c r="Q257" s="118"/>
      <c r="R257" s="119"/>
      <c r="S257" s="119"/>
      <c r="AZ257" s="102">
        <v>257</v>
      </c>
      <c r="BA257" s="91" t="s">
        <v>1569</v>
      </c>
      <c r="BB257" s="91" t="s">
        <v>1569</v>
      </c>
      <c r="BC257" s="91" t="s">
        <v>1569</v>
      </c>
      <c r="BD257" s="91" t="s">
        <v>1569</v>
      </c>
      <c r="BE257" s="91" t="s">
        <v>1569</v>
      </c>
      <c r="BF257" s="91" t="s">
        <v>1569</v>
      </c>
      <c r="BG257" s="91" t="s">
        <v>1569</v>
      </c>
      <c r="BH257" s="91" t="s">
        <v>1569</v>
      </c>
      <c r="BI257" s="91" t="s">
        <v>1569</v>
      </c>
      <c r="BJ257" s="91" t="s">
        <v>1569</v>
      </c>
      <c r="BK257" s="91" t="s">
        <v>1569</v>
      </c>
      <c r="BL257" s="102"/>
    </row>
    <row r="258" spans="2:64" ht="15" customHeight="1" x14ac:dyDescent="0.15">
      <c r="B258" s="178" t="str">
        <f>VLOOKUP(BA258,trad_termini,ID_lingua,FALSE)</f>
        <v>Domed</v>
      </c>
      <c r="N258" s="117"/>
      <c r="P258" s="118"/>
      <c r="Q258" s="118"/>
      <c r="R258" s="119"/>
      <c r="S258" s="119"/>
      <c r="AZ258" s="102">
        <v>258</v>
      </c>
      <c r="BA258" s="91">
        <v>2</v>
      </c>
      <c r="BB258" s="91" t="s">
        <v>1569</v>
      </c>
      <c r="BC258" s="91" t="s">
        <v>1569</v>
      </c>
      <c r="BD258" s="91" t="s">
        <v>1569</v>
      </c>
      <c r="BE258" s="91" t="s">
        <v>1569</v>
      </c>
      <c r="BF258" s="91" t="s">
        <v>1569</v>
      </c>
      <c r="BG258" s="91" t="s">
        <v>1569</v>
      </c>
      <c r="BH258" s="91" t="s">
        <v>1569</v>
      </c>
      <c r="BI258" s="91" t="s">
        <v>1569</v>
      </c>
      <c r="BJ258" s="91" t="s">
        <v>1569</v>
      </c>
      <c r="BK258" s="91" t="s">
        <v>1569</v>
      </c>
      <c r="BL258" s="102"/>
    </row>
    <row r="259" spans="2:64" ht="15" customHeight="1" x14ac:dyDescent="0.15">
      <c r="B259" s="91" t="str">
        <f>VLOOKUP(BA259,trad_termini,ID_lingua,FALSE)</f>
        <v>Qty</v>
      </c>
      <c r="C259" s="91" t="str">
        <f>VLOOKUP(BB259,trad_termini,ID_lingua,FALSE)</f>
        <v>Type</v>
      </c>
      <c r="D259" s="91"/>
      <c r="E259" s="188"/>
      <c r="F259" s="188"/>
      <c r="G259" s="188"/>
      <c r="H259" s="188"/>
      <c r="I259" s="188"/>
      <c r="J259" s="188"/>
      <c r="K259" s="188"/>
      <c r="L259" s="188"/>
      <c r="N259" s="117"/>
      <c r="P259" s="118"/>
      <c r="Q259" s="118"/>
      <c r="R259" s="119"/>
      <c r="S259" s="119"/>
      <c r="AZ259" s="102">
        <v>259</v>
      </c>
      <c r="BA259" s="91">
        <v>128</v>
      </c>
      <c r="BB259" s="91">
        <v>168</v>
      </c>
      <c r="BC259" s="91" t="s">
        <v>1569</v>
      </c>
      <c r="BD259" s="91" t="s">
        <v>1569</v>
      </c>
      <c r="BE259" s="91" t="s">
        <v>1569</v>
      </c>
      <c r="BF259" s="91" t="s">
        <v>1569</v>
      </c>
      <c r="BG259" s="91" t="s">
        <v>1569</v>
      </c>
      <c r="BH259" s="91" t="s">
        <v>1569</v>
      </c>
      <c r="BI259" s="91" t="s">
        <v>1569</v>
      </c>
      <c r="BJ259" s="91" t="s">
        <v>1569</v>
      </c>
      <c r="BK259" s="91" t="s">
        <v>1569</v>
      </c>
      <c r="BL259" s="102"/>
    </row>
    <row r="260" spans="2:64" ht="15" customHeight="1" x14ac:dyDescent="0.15">
      <c r="B260" s="75">
        <v>0</v>
      </c>
      <c r="C260" s="76" t="str">
        <f>IF($B$260&gt;0,VLOOKUP(mod_base,macchina_dati,33,FALSE),"-")</f>
        <v>-</v>
      </c>
      <c r="D260" s="91"/>
      <c r="E260" s="192"/>
      <c r="F260" s="192"/>
      <c r="G260" s="192"/>
      <c r="H260" s="192"/>
      <c r="I260" s="192"/>
      <c r="J260" s="192"/>
      <c r="K260" s="192"/>
      <c r="L260" s="192"/>
      <c r="N260" s="117"/>
      <c r="P260" s="118"/>
      <c r="Q260" s="118"/>
      <c r="R260" s="119"/>
      <c r="S260" s="119"/>
      <c r="AZ260" s="102">
        <v>260</v>
      </c>
      <c r="BA260" s="91" t="s">
        <v>1569</v>
      </c>
      <c r="BB260" s="91" t="s">
        <v>1569</v>
      </c>
      <c r="BC260" s="91" t="s">
        <v>1569</v>
      </c>
      <c r="BD260" s="91" t="s">
        <v>1569</v>
      </c>
      <c r="BE260" s="91" t="s">
        <v>1569</v>
      </c>
      <c r="BF260" s="91" t="s">
        <v>1569</v>
      </c>
      <c r="BG260" s="91" t="s">
        <v>1569</v>
      </c>
      <c r="BH260" s="91" t="s">
        <v>1569</v>
      </c>
      <c r="BI260" s="91" t="s">
        <v>1569</v>
      </c>
      <c r="BJ260" s="91" t="s">
        <v>1569</v>
      </c>
      <c r="BK260" s="91" t="s">
        <v>1569</v>
      </c>
      <c r="BL260" s="102"/>
    </row>
    <row r="261" spans="2:64" ht="15" customHeight="1" x14ac:dyDescent="0.15">
      <c r="B261" s="147"/>
      <c r="C261" s="147"/>
      <c r="D261" s="91"/>
      <c r="E261" s="192"/>
      <c r="F261" s="192"/>
      <c r="G261" s="192"/>
      <c r="H261" s="192"/>
      <c r="I261" s="192"/>
      <c r="J261" s="192"/>
      <c r="K261" s="192"/>
      <c r="L261" s="192"/>
      <c r="N261" s="117"/>
      <c r="P261" s="118"/>
      <c r="Q261" s="118"/>
      <c r="R261" s="119"/>
      <c r="S261" s="119"/>
      <c r="AZ261" s="102">
        <v>261</v>
      </c>
      <c r="BA261" s="91" t="s">
        <v>1569</v>
      </c>
      <c r="BB261" s="91" t="s">
        <v>1569</v>
      </c>
      <c r="BC261" s="91" t="s">
        <v>1569</v>
      </c>
      <c r="BD261" s="91" t="s">
        <v>1569</v>
      </c>
      <c r="BE261" s="91" t="s">
        <v>1569</v>
      </c>
      <c r="BF261" s="91" t="s">
        <v>1569</v>
      </c>
      <c r="BG261" s="91" t="s">
        <v>1569</v>
      </c>
      <c r="BH261" s="91" t="s">
        <v>1569</v>
      </c>
      <c r="BI261" s="91" t="s">
        <v>1569</v>
      </c>
      <c r="BJ261" s="91" t="s">
        <v>1569</v>
      </c>
      <c r="BK261" s="91" t="s">
        <v>1569</v>
      </c>
      <c r="BL261" s="102"/>
    </row>
    <row r="262" spans="2:64" ht="15" customHeight="1" x14ac:dyDescent="0.15">
      <c r="B262" s="178" t="str">
        <f>VLOOKUP(BA262,trad_termini,ID_lingua,FALSE)</f>
        <v>Frame</v>
      </c>
      <c r="C262" s="91"/>
      <c r="D262" s="91"/>
      <c r="N262" s="117"/>
      <c r="P262" s="118"/>
      <c r="Q262" s="118"/>
      <c r="R262" s="119"/>
      <c r="S262" s="119"/>
      <c r="AZ262" s="102">
        <v>262</v>
      </c>
      <c r="BA262" s="91">
        <v>163</v>
      </c>
      <c r="BB262" s="91" t="s">
        <v>1569</v>
      </c>
      <c r="BC262" s="91" t="s">
        <v>1569</v>
      </c>
      <c r="BD262" s="91" t="s">
        <v>1569</v>
      </c>
      <c r="BE262" s="91" t="s">
        <v>1569</v>
      </c>
      <c r="BF262" s="91" t="s">
        <v>1569</v>
      </c>
      <c r="BG262" s="91" t="s">
        <v>1569</v>
      </c>
      <c r="BH262" s="91" t="s">
        <v>1569</v>
      </c>
      <c r="BI262" s="91" t="s">
        <v>1569</v>
      </c>
      <c r="BJ262" s="91" t="s">
        <v>1569</v>
      </c>
      <c r="BK262" s="91" t="s">
        <v>1569</v>
      </c>
      <c r="BL262" s="102"/>
    </row>
    <row r="263" spans="2:64" ht="15" customHeight="1" x14ac:dyDescent="0.15">
      <c r="B263" s="91" t="str">
        <f>VLOOKUP(BA263,trad_termini,ID_lingua,FALSE)</f>
        <v>Qty</v>
      </c>
      <c r="C263" s="188" t="str">
        <f>VLOOKUP(BB263,trad_termini,ID_lingua,FALSE)</f>
        <v>Drawing</v>
      </c>
      <c r="D263" s="188"/>
      <c r="E263" s="188" t="str">
        <f>VLOOKUP(BD263,trad_termini,ID_lingua,FALSE)</f>
        <v>Remarks</v>
      </c>
      <c r="F263" s="188"/>
      <c r="G263" s="188"/>
      <c r="H263" s="188"/>
      <c r="I263" s="188"/>
      <c r="J263" s="188"/>
      <c r="K263" s="188"/>
      <c r="N263" s="124" t="str">
        <f>IF((B264+B265)&gt;(B256+B260),VLOOKUP(BL263,trad_termini,ID_lingua,FALSE),"")</f>
        <v/>
      </c>
      <c r="P263" s="118"/>
      <c r="Q263" s="118"/>
      <c r="R263" s="119"/>
      <c r="S263" s="119"/>
      <c r="AZ263" s="102">
        <v>263</v>
      </c>
      <c r="BA263" s="91">
        <v>128</v>
      </c>
      <c r="BB263" s="91">
        <v>57</v>
      </c>
      <c r="BC263" s="91" t="s">
        <v>1569</v>
      </c>
      <c r="BD263" s="91">
        <v>111</v>
      </c>
      <c r="BE263" s="91" t="s">
        <v>1569</v>
      </c>
      <c r="BF263" s="91" t="s">
        <v>1569</v>
      </c>
      <c r="BG263" s="91" t="s">
        <v>1569</v>
      </c>
      <c r="BH263" s="91" t="s">
        <v>1569</v>
      </c>
      <c r="BI263" s="91" t="s">
        <v>1569</v>
      </c>
      <c r="BJ263" s="91" t="s">
        <v>1569</v>
      </c>
      <c r="BK263" s="91" t="s">
        <v>1569</v>
      </c>
      <c r="BL263" s="102" t="s">
        <v>2022</v>
      </c>
    </row>
    <row r="264" spans="2:64" ht="15" customHeight="1" x14ac:dyDescent="0.15">
      <c r="B264" s="75">
        <v>0</v>
      </c>
      <c r="C264" s="196" t="str">
        <f>IF(OR(B252="-",B256=0,B264=0),"-",VLOOKUP(B252,telai_pann,IF(mat_cop="S355",2,3),FALSE))</f>
        <v>-</v>
      </c>
      <c r="D264" s="196"/>
      <c r="E264" s="189" t="str">
        <f>IF(B264&gt;0,"Con bulloneria di fissaggio a coperchio","")</f>
        <v/>
      </c>
      <c r="F264" s="189"/>
      <c r="G264" s="189"/>
      <c r="H264" s="189"/>
      <c r="I264" s="189"/>
      <c r="J264" s="189"/>
      <c r="K264" s="189"/>
      <c r="N264" s="117"/>
      <c r="P264" s="118"/>
      <c r="Q264" s="118"/>
      <c r="R264" s="119"/>
      <c r="S264" s="119"/>
      <c r="AZ264" s="102">
        <v>264</v>
      </c>
      <c r="BA264" s="91" t="s">
        <v>1569</v>
      </c>
      <c r="BB264" s="91" t="s">
        <v>1569</v>
      </c>
      <c r="BC264" s="91" t="s">
        <v>1569</v>
      </c>
      <c r="BD264" s="91" t="s">
        <v>1569</v>
      </c>
      <c r="BE264" s="91" t="s">
        <v>1569</v>
      </c>
      <c r="BF264" s="91" t="s">
        <v>1569</v>
      </c>
      <c r="BG264" s="91" t="s">
        <v>1569</v>
      </c>
      <c r="BH264" s="91" t="s">
        <v>1569</v>
      </c>
      <c r="BI264" s="91" t="s">
        <v>1569</v>
      </c>
      <c r="BJ264" s="91" t="s">
        <v>1569</v>
      </c>
      <c r="BK264" s="91" t="s">
        <v>1569</v>
      </c>
      <c r="BL264" s="102"/>
    </row>
    <row r="265" spans="2:64" ht="15" customHeight="1" x14ac:dyDescent="0.15">
      <c r="B265" s="75">
        <v>0</v>
      </c>
      <c r="C265" s="196" t="str">
        <f>IFERROR(IF(B265=0,"-",VLOOKUP(mod_base,macchina_dati,34,FALSE)),"-")</f>
        <v>-</v>
      </c>
      <c r="D265" s="196"/>
      <c r="E265" s="189" t="str">
        <f>IF(AND(B265,C265&lt;&gt;"NON DISPONIBILE"),"Con bulloneria di fissaggio","")</f>
        <v/>
      </c>
      <c r="F265" s="189"/>
      <c r="G265" s="189"/>
      <c r="H265" s="189"/>
      <c r="I265" s="189"/>
      <c r="J265" s="189"/>
      <c r="K265" s="189"/>
      <c r="N265" s="117"/>
      <c r="P265" s="118"/>
      <c r="Q265" s="118"/>
      <c r="R265" s="119"/>
      <c r="S265" s="119"/>
      <c r="AZ265" s="102">
        <v>265</v>
      </c>
      <c r="BA265" s="91" t="s">
        <v>1569</v>
      </c>
      <c r="BB265" s="91" t="s">
        <v>1569</v>
      </c>
      <c r="BC265" s="91" t="s">
        <v>1569</v>
      </c>
      <c r="BD265" s="91" t="s">
        <v>1569</v>
      </c>
      <c r="BE265" s="91" t="s">
        <v>1569</v>
      </c>
      <c r="BF265" s="91" t="s">
        <v>1569</v>
      </c>
      <c r="BG265" s="91" t="s">
        <v>1569</v>
      </c>
      <c r="BH265" s="91" t="s">
        <v>1569</v>
      </c>
      <c r="BI265" s="91" t="s">
        <v>1569</v>
      </c>
      <c r="BJ265" s="91" t="s">
        <v>1569</v>
      </c>
      <c r="BK265" s="91" t="s">
        <v>1569</v>
      </c>
      <c r="BL265" s="102"/>
    </row>
    <row r="266" spans="2:64" ht="15" customHeight="1" x14ac:dyDescent="0.15">
      <c r="B266" s="91"/>
      <c r="C266" s="91"/>
      <c r="D266" s="91"/>
      <c r="N266" s="117"/>
      <c r="P266" s="118"/>
      <c r="Q266" s="118"/>
      <c r="R266" s="119"/>
      <c r="S266" s="119"/>
      <c r="AZ266" s="102">
        <v>266</v>
      </c>
      <c r="BA266" s="91" t="s">
        <v>1569</v>
      </c>
      <c r="BB266" s="91" t="s">
        <v>1569</v>
      </c>
      <c r="BC266" s="91" t="s">
        <v>1569</v>
      </c>
      <c r="BD266" s="91" t="s">
        <v>1569</v>
      </c>
      <c r="BE266" s="91" t="s">
        <v>1569</v>
      </c>
      <c r="BF266" s="91" t="s">
        <v>1569</v>
      </c>
      <c r="BG266" s="91" t="s">
        <v>1569</v>
      </c>
      <c r="BH266" s="91" t="s">
        <v>1569</v>
      </c>
      <c r="BI266" s="91" t="s">
        <v>1569</v>
      </c>
      <c r="BJ266" s="91" t="s">
        <v>1569</v>
      </c>
      <c r="BK266" s="91" t="s">
        <v>1569</v>
      </c>
      <c r="BL266" s="102"/>
    </row>
    <row r="267" spans="2:64" ht="15" customHeight="1" x14ac:dyDescent="0.15">
      <c r="B267" s="142" t="str">
        <f>VLOOKUP(BA267,trad_termini,ID_lingua,FALSE)</f>
        <v>Remarks</v>
      </c>
      <c r="N267" s="117"/>
      <c r="P267" s="118"/>
      <c r="Q267" s="118"/>
      <c r="R267" s="118"/>
      <c r="S267" s="119"/>
      <c r="AZ267" s="102">
        <v>267</v>
      </c>
      <c r="BA267" s="91">
        <v>111</v>
      </c>
      <c r="BB267" s="91" t="s">
        <v>1569</v>
      </c>
      <c r="BC267" s="91" t="s">
        <v>1569</v>
      </c>
      <c r="BD267" s="91" t="s">
        <v>1569</v>
      </c>
      <c r="BE267" s="91" t="s">
        <v>1569</v>
      </c>
      <c r="BF267" s="91" t="s">
        <v>1569</v>
      </c>
      <c r="BG267" s="91" t="s">
        <v>1569</v>
      </c>
      <c r="BH267" s="91" t="s">
        <v>1569</v>
      </c>
      <c r="BI267" s="91" t="s">
        <v>1569</v>
      </c>
      <c r="BJ267" s="91" t="s">
        <v>1569</v>
      </c>
      <c r="BK267" s="91" t="s">
        <v>1569</v>
      </c>
      <c r="BL267" s="102"/>
    </row>
    <row r="268" spans="2:64" ht="30" customHeight="1" x14ac:dyDescent="0.15">
      <c r="B268" s="76">
        <v>1</v>
      </c>
      <c r="C268" s="212" t="s">
        <v>2094</v>
      </c>
      <c r="D268" s="212"/>
      <c r="E268" s="212"/>
      <c r="F268" s="212"/>
      <c r="G268" s="212"/>
      <c r="H268" s="212"/>
      <c r="I268" s="212"/>
      <c r="J268" s="212"/>
      <c r="K268" s="212"/>
      <c r="L268" s="212"/>
      <c r="N268" s="117"/>
      <c r="P268" s="118"/>
      <c r="Q268" s="118"/>
      <c r="R268" s="118"/>
      <c r="S268" s="119"/>
      <c r="AZ268" s="102">
        <v>268</v>
      </c>
      <c r="BL268" s="102"/>
    </row>
    <row r="269" spans="2:64" ht="30" customHeight="1" x14ac:dyDescent="0.15">
      <c r="B269" s="76">
        <v>2</v>
      </c>
      <c r="C269" s="212" t="s">
        <v>2097</v>
      </c>
      <c r="D269" s="212"/>
      <c r="E269" s="212"/>
      <c r="F269" s="212"/>
      <c r="G269" s="212"/>
      <c r="H269" s="212"/>
      <c r="I269" s="212"/>
      <c r="J269" s="212"/>
      <c r="K269" s="212"/>
      <c r="L269" s="212"/>
      <c r="N269" s="117"/>
      <c r="P269" s="118"/>
      <c r="Q269" s="118"/>
      <c r="R269" s="118"/>
      <c r="S269" s="119"/>
      <c r="AZ269" s="102">
        <v>269</v>
      </c>
      <c r="BL269" s="102"/>
    </row>
    <row r="270" spans="2:64" ht="30" customHeight="1" x14ac:dyDescent="0.15">
      <c r="B270" s="76">
        <v>3</v>
      </c>
      <c r="C270" s="212"/>
      <c r="D270" s="212"/>
      <c r="E270" s="212"/>
      <c r="F270" s="212"/>
      <c r="G270" s="212"/>
      <c r="H270" s="212"/>
      <c r="I270" s="212"/>
      <c r="J270" s="212"/>
      <c r="K270" s="212"/>
      <c r="L270" s="212"/>
      <c r="N270" s="117"/>
      <c r="P270" s="118"/>
      <c r="Q270" s="118"/>
      <c r="R270" s="118"/>
      <c r="S270" s="119"/>
      <c r="AZ270" s="102">
        <v>270</v>
      </c>
      <c r="BL270" s="102"/>
    </row>
    <row r="271" spans="2:64" ht="30" customHeight="1" x14ac:dyDescent="0.15">
      <c r="B271" s="76">
        <v>4</v>
      </c>
      <c r="C271" s="212"/>
      <c r="D271" s="212"/>
      <c r="E271" s="212"/>
      <c r="F271" s="212"/>
      <c r="G271" s="212"/>
      <c r="H271" s="212"/>
      <c r="I271" s="212"/>
      <c r="J271" s="212"/>
      <c r="K271" s="212"/>
      <c r="L271" s="212"/>
      <c r="N271" s="117"/>
      <c r="P271" s="118"/>
      <c r="Q271" s="118"/>
      <c r="R271" s="118"/>
      <c r="S271" s="119"/>
      <c r="AZ271" s="102">
        <v>271</v>
      </c>
      <c r="BL271" s="102"/>
    </row>
    <row r="272" spans="2:64" ht="30" customHeight="1" x14ac:dyDescent="0.15">
      <c r="B272" s="76">
        <v>5</v>
      </c>
      <c r="C272" s="212"/>
      <c r="D272" s="212"/>
      <c r="E272" s="212"/>
      <c r="F272" s="212"/>
      <c r="G272" s="212"/>
      <c r="H272" s="212"/>
      <c r="I272" s="212"/>
      <c r="J272" s="212"/>
      <c r="K272" s="212"/>
      <c r="L272" s="212"/>
      <c r="N272" s="117"/>
      <c r="P272" s="118"/>
      <c r="Q272" s="118"/>
      <c r="R272" s="118"/>
      <c r="S272" s="119"/>
      <c r="AZ272" s="102">
        <v>272</v>
      </c>
      <c r="BL272" s="102"/>
    </row>
  </sheetData>
  <sheetProtection selectLockedCells="1"/>
  <mergeCells count="283">
    <mergeCell ref="AE115:AG115"/>
    <mergeCell ref="F154:G154"/>
    <mergeCell ref="I232:L232"/>
    <mergeCell ref="I233:L233"/>
    <mergeCell ref="I234:L234"/>
    <mergeCell ref="D130:E130"/>
    <mergeCell ref="G130:I130"/>
    <mergeCell ref="K174:L174"/>
    <mergeCell ref="E175:F175"/>
    <mergeCell ref="E176:F176"/>
    <mergeCell ref="K159:L159"/>
    <mergeCell ref="D160:E160"/>
    <mergeCell ref="K160:L160"/>
    <mergeCell ref="G157:H157"/>
    <mergeCell ref="D158:E158"/>
    <mergeCell ref="D159:E159"/>
    <mergeCell ref="D142:E142"/>
    <mergeCell ref="D143:E143"/>
    <mergeCell ref="J157:L157"/>
    <mergeCell ref="C157:F157"/>
    <mergeCell ref="D139:E139"/>
    <mergeCell ref="D140:E140"/>
    <mergeCell ref="K158:L158"/>
    <mergeCell ref="D134:E134"/>
    <mergeCell ref="Z50:AB50"/>
    <mergeCell ref="B36:D36"/>
    <mergeCell ref="F153:G153"/>
    <mergeCell ref="B181:C181"/>
    <mergeCell ref="D180:E180"/>
    <mergeCell ref="F180:G180"/>
    <mergeCell ref="D181:E181"/>
    <mergeCell ref="F181:G181"/>
    <mergeCell ref="B171:C171"/>
    <mergeCell ref="E171:F171"/>
    <mergeCell ref="K166:L166"/>
    <mergeCell ref="K167:L167"/>
    <mergeCell ref="K168:L168"/>
    <mergeCell ref="K169:L169"/>
    <mergeCell ref="K170:L170"/>
    <mergeCell ref="K171:L171"/>
    <mergeCell ref="H167:I167"/>
    <mergeCell ref="H168:I168"/>
    <mergeCell ref="E174:F174"/>
    <mergeCell ref="H169:I169"/>
    <mergeCell ref="H170:I170"/>
    <mergeCell ref="C45:E45"/>
    <mergeCell ref="AA132:AB132"/>
    <mergeCell ref="AA133:AB133"/>
    <mergeCell ref="AC73:AE73"/>
    <mergeCell ref="D90:E90"/>
    <mergeCell ref="D89:E89"/>
    <mergeCell ref="H105:I105"/>
    <mergeCell ref="H106:I106"/>
    <mergeCell ref="H107:I107"/>
    <mergeCell ref="H108:I108"/>
    <mergeCell ref="H109:I109"/>
    <mergeCell ref="H104:I104"/>
    <mergeCell ref="H103:I103"/>
    <mergeCell ref="Y73:Z73"/>
    <mergeCell ref="D92:E92"/>
    <mergeCell ref="AE96:AG96"/>
    <mergeCell ref="AE97:AG97"/>
    <mergeCell ref="H100:I100"/>
    <mergeCell ref="H102:I102"/>
    <mergeCell ref="H101:I101"/>
    <mergeCell ref="D95:G95"/>
    <mergeCell ref="I97:J98"/>
    <mergeCell ref="AB90:AC90"/>
    <mergeCell ref="AB89:AC89"/>
    <mergeCell ref="AB92:AC92"/>
    <mergeCell ref="AA90:AA92"/>
    <mergeCell ref="C82:G82"/>
    <mergeCell ref="K67:L67"/>
    <mergeCell ref="K68:L68"/>
    <mergeCell ref="F67:G67"/>
    <mergeCell ref="F68:G68"/>
    <mergeCell ref="F66:G66"/>
    <mergeCell ref="C97:C98"/>
    <mergeCell ref="C79:D79"/>
    <mergeCell ref="C80:D80"/>
    <mergeCell ref="C81:G81"/>
    <mergeCell ref="B34:L34"/>
    <mergeCell ref="K66:L66"/>
    <mergeCell ref="D28:L28"/>
    <mergeCell ref="C47:E47"/>
    <mergeCell ref="C48:E48"/>
    <mergeCell ref="D29:L29"/>
    <mergeCell ref="D30:L30"/>
    <mergeCell ref="D31:L31"/>
    <mergeCell ref="B33:L33"/>
    <mergeCell ref="C44:E44"/>
    <mergeCell ref="J5:L5"/>
    <mergeCell ref="K12:L12"/>
    <mergeCell ref="K13:L13"/>
    <mergeCell ref="B21:D21"/>
    <mergeCell ref="J15:L15"/>
    <mergeCell ref="J16:L16"/>
    <mergeCell ref="E21:G21"/>
    <mergeCell ref="B22:C22"/>
    <mergeCell ref="E22:F22"/>
    <mergeCell ref="K19:L19"/>
    <mergeCell ref="C1:D1"/>
    <mergeCell ref="E1:F1"/>
    <mergeCell ref="G1:H1"/>
    <mergeCell ref="C2:D2"/>
    <mergeCell ref="E2:F2"/>
    <mergeCell ref="G2:H2"/>
    <mergeCell ref="B18:D18"/>
    <mergeCell ref="G18:H18"/>
    <mergeCell ref="B19:D19"/>
    <mergeCell ref="G19:H19"/>
    <mergeCell ref="B15:E15"/>
    <mergeCell ref="F15:I15"/>
    <mergeCell ref="B16:E16"/>
    <mergeCell ref="F16:I16"/>
    <mergeCell ref="G13:H13"/>
    <mergeCell ref="G12:H12"/>
    <mergeCell ref="B11:C11"/>
    <mergeCell ref="B23:C23"/>
    <mergeCell ref="E23:F23"/>
    <mergeCell ref="D26:L26"/>
    <mergeCell ref="D27:L27"/>
    <mergeCell ref="G36:H36"/>
    <mergeCell ref="B38:D38"/>
    <mergeCell ref="E184:F184"/>
    <mergeCell ref="B184:C184"/>
    <mergeCell ref="F70:G70"/>
    <mergeCell ref="F71:G71"/>
    <mergeCell ref="C60:G60"/>
    <mergeCell ref="B37:D37"/>
    <mergeCell ref="E56:F56"/>
    <mergeCell ref="C59:G59"/>
    <mergeCell ref="C57:D57"/>
    <mergeCell ref="C58:D58"/>
    <mergeCell ref="D63:E63"/>
    <mergeCell ref="B62:C62"/>
    <mergeCell ref="D62:E62"/>
    <mergeCell ref="B63:C63"/>
    <mergeCell ref="E55:F55"/>
    <mergeCell ref="F152:G152"/>
    <mergeCell ref="D152:E152"/>
    <mergeCell ref="D153:E153"/>
    <mergeCell ref="D137:E137"/>
    <mergeCell ref="F137:H137"/>
    <mergeCell ref="F135:H135"/>
    <mergeCell ref="F139:H139"/>
    <mergeCell ref="F140:H140"/>
    <mergeCell ref="F141:H141"/>
    <mergeCell ref="H111:I111"/>
    <mergeCell ref="H112:I112"/>
    <mergeCell ref="H113:I113"/>
    <mergeCell ref="G118:H118"/>
    <mergeCell ref="G116:H116"/>
    <mergeCell ref="G117:H117"/>
    <mergeCell ref="C271:L271"/>
    <mergeCell ref="C272:L272"/>
    <mergeCell ref="C232:D232"/>
    <mergeCell ref="E232:G232"/>
    <mergeCell ref="C233:D233"/>
    <mergeCell ref="E233:G233"/>
    <mergeCell ref="C228:D228"/>
    <mergeCell ref="E228:G228"/>
    <mergeCell ref="C229:D229"/>
    <mergeCell ref="E229:G229"/>
    <mergeCell ref="C230:D230"/>
    <mergeCell ref="E230:G230"/>
    <mergeCell ref="C231:D231"/>
    <mergeCell ref="E231:G231"/>
    <mergeCell ref="C268:L268"/>
    <mergeCell ref="C269:L269"/>
    <mergeCell ref="C270:L270"/>
    <mergeCell ref="I230:L230"/>
    <mergeCell ref="I229:L229"/>
    <mergeCell ref="E263:K263"/>
    <mergeCell ref="E264:K264"/>
    <mergeCell ref="E265:K265"/>
    <mergeCell ref="C265:D265"/>
    <mergeCell ref="C234:D234"/>
    <mergeCell ref="C263:D263"/>
    <mergeCell ref="C264:D264"/>
    <mergeCell ref="E259:L259"/>
    <mergeCell ref="E260:L260"/>
    <mergeCell ref="E261:L261"/>
    <mergeCell ref="G238:L246"/>
    <mergeCell ref="Y188:Z188"/>
    <mergeCell ref="Y187:Z187"/>
    <mergeCell ref="AA187:AB187"/>
    <mergeCell ref="AA188:AB188"/>
    <mergeCell ref="I231:L231"/>
    <mergeCell ref="E192:F192"/>
    <mergeCell ref="D187:E187"/>
    <mergeCell ref="E199:F199"/>
    <mergeCell ref="E200:F200"/>
    <mergeCell ref="E256:L256"/>
    <mergeCell ref="E257:L257"/>
    <mergeCell ref="E255:L255"/>
    <mergeCell ref="I228:L228"/>
    <mergeCell ref="E221:F221"/>
    <mergeCell ref="I227:L227"/>
    <mergeCell ref="C242:D242"/>
    <mergeCell ref="E210:F210"/>
    <mergeCell ref="C245:D245"/>
    <mergeCell ref="C227:D227"/>
    <mergeCell ref="E206:F206"/>
    <mergeCell ref="E207:F207"/>
    <mergeCell ref="E208:F208"/>
    <mergeCell ref="E209:F209"/>
    <mergeCell ref="E211:F211"/>
    <mergeCell ref="E219:F219"/>
    <mergeCell ref="E222:F222"/>
    <mergeCell ref="C246:D246"/>
    <mergeCell ref="E234:G234"/>
    <mergeCell ref="C237:D237"/>
    <mergeCell ref="C238:D238"/>
    <mergeCell ref="C241:D241"/>
    <mergeCell ref="E205:F205"/>
    <mergeCell ref="E223:F223"/>
    <mergeCell ref="E227:G227"/>
    <mergeCell ref="E214:F214"/>
    <mergeCell ref="G214:H214"/>
    <mergeCell ref="G205:H205"/>
    <mergeCell ref="E220:F220"/>
    <mergeCell ref="G197:H197"/>
    <mergeCell ref="G199:H199"/>
    <mergeCell ref="G216:H216"/>
    <mergeCell ref="G206:H206"/>
    <mergeCell ref="G210:H210"/>
    <mergeCell ref="G211:H211"/>
    <mergeCell ref="E212:F212"/>
    <mergeCell ref="G212:H212"/>
    <mergeCell ref="E213:F213"/>
    <mergeCell ref="G213:H213"/>
    <mergeCell ref="E215:F215"/>
    <mergeCell ref="E216:F216"/>
    <mergeCell ref="G215:H215"/>
    <mergeCell ref="E193:F193"/>
    <mergeCell ref="G201:H201"/>
    <mergeCell ref="E201:F201"/>
    <mergeCell ref="B84:C84"/>
    <mergeCell ref="D84:E84"/>
    <mergeCell ref="B85:C85"/>
    <mergeCell ref="D85:E85"/>
    <mergeCell ref="F142:H142"/>
    <mergeCell ref="F143:H143"/>
    <mergeCell ref="D135:E135"/>
    <mergeCell ref="D188:E188"/>
    <mergeCell ref="D189:E189"/>
    <mergeCell ref="E194:F194"/>
    <mergeCell ref="E195:F195"/>
    <mergeCell ref="E197:F197"/>
    <mergeCell ref="E198:F198"/>
    <mergeCell ref="G128:I128"/>
    <mergeCell ref="G129:I129"/>
    <mergeCell ref="H110:I110"/>
    <mergeCell ref="H171:I171"/>
    <mergeCell ref="E166:F166"/>
    <mergeCell ref="E167:F167"/>
    <mergeCell ref="E168:F168"/>
    <mergeCell ref="F138:H138"/>
    <mergeCell ref="AC187:AD187"/>
    <mergeCell ref="AC188:AD188"/>
    <mergeCell ref="AB117:AB118"/>
    <mergeCell ref="D147:E147"/>
    <mergeCell ref="F147:H147"/>
    <mergeCell ref="D148:E148"/>
    <mergeCell ref="F148:H148"/>
    <mergeCell ref="B167:C167"/>
    <mergeCell ref="D144:E144"/>
    <mergeCell ref="B168:C168"/>
    <mergeCell ref="B169:C169"/>
    <mergeCell ref="B170:C170"/>
    <mergeCell ref="E183:F183"/>
    <mergeCell ref="F144:H144"/>
    <mergeCell ref="D154:E154"/>
    <mergeCell ref="D128:E128"/>
    <mergeCell ref="D129:E129"/>
    <mergeCell ref="E169:F169"/>
    <mergeCell ref="E170:F170"/>
    <mergeCell ref="F134:H134"/>
    <mergeCell ref="D141:E141"/>
    <mergeCell ref="D136:E136"/>
    <mergeCell ref="F136:H136"/>
    <mergeCell ref="D138:E138"/>
  </mergeCells>
  <phoneticPr fontId="12" type="noConversion"/>
  <conditionalFormatting sqref="B58">
    <cfRule type="expression" dxfId="83" priority="231">
      <formula>$Z$57=0</formula>
    </cfRule>
  </conditionalFormatting>
  <conditionalFormatting sqref="B80">
    <cfRule type="expression" dxfId="82" priority="15">
      <formula>$Z$57=0</formula>
    </cfRule>
  </conditionalFormatting>
  <conditionalFormatting sqref="B229">
    <cfRule type="expression" dxfId="81" priority="105">
      <formula>AND($B$229&gt;0,flg_RO=1)</formula>
    </cfRule>
  </conditionalFormatting>
  <conditionalFormatting sqref="B230">
    <cfRule type="expression" dxfId="80" priority="104">
      <formula>AND($B$230&lt;&gt;"-",flg_RO=1)</formula>
    </cfRule>
  </conditionalFormatting>
  <conditionalFormatting sqref="B233">
    <cfRule type="expression" dxfId="79" priority="101">
      <formula>AND($B$233&gt;0,flg_RO=1)</formula>
    </cfRule>
  </conditionalFormatting>
  <conditionalFormatting sqref="B228:G228">
    <cfRule type="expression" dxfId="78" priority="106">
      <formula>AND($B$228&gt;0,flg_RO=1)</formula>
    </cfRule>
  </conditionalFormatting>
  <conditionalFormatting sqref="B231:G231">
    <cfRule type="expression" dxfId="77" priority="103">
      <formula>AND($B$231&lt;&gt;"-",flg_RO=1)</formula>
    </cfRule>
  </conditionalFormatting>
  <conditionalFormatting sqref="B232:G232">
    <cfRule type="expression" dxfId="76" priority="102">
      <formula>AND($B$232&lt;&gt;"-",flg_RO=1)</formula>
    </cfRule>
  </conditionalFormatting>
  <conditionalFormatting sqref="B234:G234">
    <cfRule type="expression" dxfId="75" priority="183">
      <formula>AND($B$234&gt;0,flg_RO=1)</formula>
    </cfRule>
  </conditionalFormatting>
  <conditionalFormatting sqref="B264:K264">
    <cfRule type="expression" dxfId="74" priority="50">
      <formula>AND($B$264&gt;0,flg_RO=1)</formula>
    </cfRule>
  </conditionalFormatting>
  <conditionalFormatting sqref="B265:K265">
    <cfRule type="expression" dxfId="73" priority="49">
      <formula>AND($B$265&gt;0,flg_RO=1)</formula>
    </cfRule>
  </conditionalFormatting>
  <conditionalFormatting sqref="B58:L58">
    <cfRule type="expression" dxfId="72" priority="40">
      <formula>flg_mrid_forn=0</formula>
    </cfRule>
    <cfRule type="expression" dxfId="71" priority="218">
      <formula>flg_RO=1</formula>
    </cfRule>
  </conditionalFormatting>
  <conditionalFormatting sqref="B80:L80">
    <cfRule type="expression" dxfId="70" priority="13">
      <formula>flg_mrid_forn=0</formula>
    </cfRule>
    <cfRule type="expression" dxfId="69" priority="14">
      <formula>flg_RO=1</formula>
    </cfRule>
  </conditionalFormatting>
  <conditionalFormatting sqref="C139">
    <cfRule type="expression" dxfId="68" priority="87">
      <formula>AND(flg_RO=1,$C$139&gt;0)</formula>
    </cfRule>
  </conditionalFormatting>
  <conditionalFormatting sqref="C140">
    <cfRule type="expression" dxfId="67" priority="86">
      <formula>AND(flg_RO=1,$C$140&gt;0)</formula>
    </cfRule>
  </conditionalFormatting>
  <conditionalFormatting sqref="C141">
    <cfRule type="expression" dxfId="66" priority="85">
      <formula>AND(flg_RO=1,$C$141&gt;0)</formula>
    </cfRule>
  </conditionalFormatting>
  <conditionalFormatting sqref="C142">
    <cfRule type="expression" dxfId="65" priority="84">
      <formula>AND(flg_RO=1,$C$142&gt;0)</formula>
    </cfRule>
  </conditionalFormatting>
  <conditionalFormatting sqref="C143">
    <cfRule type="expression" dxfId="64" priority="83">
      <formula>AND(flg_RO=1,$C$143&gt;0)</formula>
    </cfRule>
  </conditionalFormatting>
  <conditionalFormatting sqref="C144">
    <cfRule type="expression" dxfId="63" priority="82">
      <formula>AND(flg_RO=1,$C$144&gt;0)</formula>
    </cfRule>
  </conditionalFormatting>
  <conditionalFormatting sqref="C233:D233">
    <cfRule type="expression" dxfId="62" priority="4">
      <formula>AND($B$228&gt;0,flg_RO=1)</formula>
    </cfRule>
  </conditionalFormatting>
  <conditionalFormatting sqref="C45:E45">
    <cfRule type="cellIs" dxfId="61" priority="34" operator="equal">
      <formula>"""CONFIGURAZIONE NON VALIDA"""</formula>
    </cfRule>
  </conditionalFormatting>
  <conditionalFormatting sqref="C90:E92">
    <cfRule type="expression" dxfId="60" priority="97">
      <formula>flg_RO=1</formula>
    </cfRule>
  </conditionalFormatting>
  <conditionalFormatting sqref="C137:E138">
    <cfRule type="expression" dxfId="59" priority="12">
      <formula>AND(flg_RO=1,$C$135&gt;0)</formula>
    </cfRule>
  </conditionalFormatting>
  <conditionalFormatting sqref="C148:E148">
    <cfRule type="expression" dxfId="58" priority="81">
      <formula>AND(flg_RO=1,$C$148&gt;0)</formula>
    </cfRule>
  </conditionalFormatting>
  <conditionalFormatting sqref="C135:F136">
    <cfRule type="expression" dxfId="57" priority="25">
      <formula>AND(flg_RO=1,$C$135&gt;0)</formula>
    </cfRule>
  </conditionalFormatting>
  <conditionalFormatting sqref="C154:F154 H154">
    <cfRule type="expression" dxfId="56" priority="100">
      <formula>$C$154&lt;&gt;"-"</formula>
    </cfRule>
  </conditionalFormatting>
  <conditionalFormatting sqref="C159:F160">
    <cfRule type="expression" dxfId="55" priority="80">
      <formula>flg_RO=1</formula>
    </cfRule>
  </conditionalFormatting>
  <conditionalFormatting sqref="C188:G188">
    <cfRule type="expression" dxfId="54" priority="66">
      <formula>flg_RO=1</formula>
    </cfRule>
  </conditionalFormatting>
  <conditionalFormatting sqref="C189:G189">
    <cfRule type="expression" dxfId="53" priority="45">
      <formula>flg_RO=1</formula>
    </cfRule>
  </conditionalFormatting>
  <conditionalFormatting sqref="C229:G230">
    <cfRule type="expression" dxfId="52" priority="1">
      <formula>AND($B$228&gt;0,flg_RO=1)</formula>
    </cfRule>
  </conditionalFormatting>
  <conditionalFormatting sqref="C101:I113">
    <cfRule type="expression" dxfId="51" priority="96">
      <formula>AND($C101&gt;0,flg_RO=1)</formula>
    </cfRule>
  </conditionalFormatting>
  <conditionalFormatting sqref="D139:E144">
    <cfRule type="expression" dxfId="50" priority="6">
      <formula>AND(flg_RO=1,$C$135&gt;0)</formula>
    </cfRule>
  </conditionalFormatting>
  <conditionalFormatting sqref="D167:F172">
    <cfRule type="expression" dxfId="49" priority="77">
      <formula>flg_RO=1</formula>
    </cfRule>
  </conditionalFormatting>
  <conditionalFormatting sqref="D174:F176">
    <cfRule type="expression" dxfId="48" priority="74">
      <formula>AND($D$174&gt;0,flg_RO=1)</formula>
    </cfRule>
  </conditionalFormatting>
  <conditionalFormatting sqref="D184:F184">
    <cfRule type="expression" dxfId="47" priority="46">
      <formula>flg_RO=1</formula>
    </cfRule>
  </conditionalFormatting>
  <conditionalFormatting sqref="D193:F193">
    <cfRule type="expression" dxfId="46" priority="65">
      <formula>AND($D$193&lt;&gt;"-",flg_RO=1)</formula>
    </cfRule>
  </conditionalFormatting>
  <conditionalFormatting sqref="D194:F195">
    <cfRule type="expression" dxfId="45" priority="64">
      <formula>flg_RO=1</formula>
    </cfRule>
  </conditionalFormatting>
  <conditionalFormatting sqref="D198:F198">
    <cfRule type="expression" dxfId="44" priority="44">
      <formula>flg_RO=1</formula>
    </cfRule>
  </conditionalFormatting>
  <conditionalFormatting sqref="D220:F220">
    <cfRule type="expression" dxfId="43" priority="58">
      <formula>AND($D$220&gt;0,flg_RO=1)</formula>
    </cfRule>
  </conditionalFormatting>
  <conditionalFormatting sqref="D221:F221">
    <cfRule type="expression" dxfId="42" priority="57">
      <formula>AND($D$221&gt;0,flg_RO=1)</formula>
    </cfRule>
  </conditionalFormatting>
  <conditionalFormatting sqref="D222:F222">
    <cfRule type="expression" dxfId="41" priority="56">
      <formula>AND($D$222&gt;0,flg_RO=1)</formula>
    </cfRule>
  </conditionalFormatting>
  <conditionalFormatting sqref="D223:F223">
    <cfRule type="expression" dxfId="40" priority="55">
      <formula>AND($D$223&gt;0,flg_RO=1)</formula>
    </cfRule>
  </conditionalFormatting>
  <conditionalFormatting sqref="D206:H206">
    <cfRule type="expression" dxfId="39" priority="63">
      <formula>AND($D$206&lt;&gt;"-",flg_RO=1)</formula>
    </cfRule>
  </conditionalFormatting>
  <conditionalFormatting sqref="D210:H210">
    <cfRule type="expression" dxfId="38" priority="62">
      <formula>AND($D$210&lt;&gt;"-",flg_RO=1)</formula>
    </cfRule>
  </conditionalFormatting>
  <conditionalFormatting sqref="D211:H211">
    <cfRule type="expression" dxfId="37" priority="42">
      <formula>AND($D$211&lt;&gt;"-",flg_RO=1)</formula>
    </cfRule>
  </conditionalFormatting>
  <conditionalFormatting sqref="D212:H212">
    <cfRule type="expression" dxfId="36" priority="43">
      <formula>AND($D$212&lt;&gt;"-",flg_RO=1)</formula>
    </cfRule>
  </conditionalFormatting>
  <conditionalFormatting sqref="D213:H213">
    <cfRule type="expression" dxfId="35" priority="61">
      <formula>AND($D$213&lt;&gt;"-",flg_RO=1)</formula>
    </cfRule>
  </conditionalFormatting>
  <conditionalFormatting sqref="D215:H215">
    <cfRule type="expression" dxfId="34" priority="60">
      <formula>AND($D$215&lt;&gt;"-",flg_RO=1)</formula>
    </cfRule>
  </conditionalFormatting>
  <conditionalFormatting sqref="D216:H216">
    <cfRule type="expression" dxfId="33" priority="59">
      <formula>AND($D$216&lt;&gt;"-",flg_RO=1)</formula>
    </cfRule>
  </conditionalFormatting>
  <conditionalFormatting sqref="E58">
    <cfRule type="expression" dxfId="32" priority="232">
      <formula>SUM($Z$56:$AB$56)=0</formula>
    </cfRule>
  </conditionalFormatting>
  <conditionalFormatting sqref="E80">
    <cfRule type="expression" dxfId="31" priority="16">
      <formula>SUM($Z$56:$AB$56)=0</formula>
    </cfRule>
  </conditionalFormatting>
  <conditionalFormatting sqref="E233:G233">
    <cfRule type="expression" dxfId="30" priority="3">
      <formula>AND($B$229&gt;0,flg_RO=1)</formula>
    </cfRule>
  </conditionalFormatting>
  <conditionalFormatting sqref="F137:F144">
    <cfRule type="expression" dxfId="29" priority="27">
      <formula>AND(flg_RO=1,$C$135&gt;0)</formula>
    </cfRule>
  </conditionalFormatting>
  <conditionalFormatting sqref="F135:H144">
    <cfRule type="expression" dxfId="28" priority="24">
      <formula>$C135=0</formula>
    </cfRule>
  </conditionalFormatting>
  <conditionalFormatting sqref="G159:H160">
    <cfRule type="expression" dxfId="27" priority="47">
      <formula>flg_RO=1</formula>
    </cfRule>
  </conditionalFormatting>
  <conditionalFormatting sqref="I97">
    <cfRule type="cellIs" dxfId="26" priority="23" operator="notEqual">
      <formula>""</formula>
    </cfRule>
  </conditionalFormatting>
  <conditionalFormatting sqref="I67:L67 C67:G68 C70:C71 F70:G71 C75:E75 G75">
    <cfRule type="expression" dxfId="25" priority="107">
      <formula>AND(flg_RO=1,flg_chad=1)</formula>
    </cfRule>
  </conditionalFormatting>
  <conditionalFormatting sqref="J5:L5">
    <cfRule type="cellIs" dxfId="24" priority="22" operator="notEqual">
      <formula>""</formula>
    </cfRule>
  </conditionalFormatting>
  <conditionalFormatting sqref="J159:L160">
    <cfRule type="expression" dxfId="23" priority="79">
      <formula>flg_RO=1</formula>
    </cfRule>
  </conditionalFormatting>
  <conditionalFormatting sqref="J167:L172">
    <cfRule type="expression" dxfId="22" priority="76">
      <formula>flg_RO=1</formula>
    </cfRule>
  </conditionalFormatting>
  <conditionalFormatting sqref="J174:L174">
    <cfRule type="expression" dxfId="21" priority="75">
      <formula>flg_RO=1</formula>
    </cfRule>
  </conditionalFormatting>
  <conditionalFormatting sqref="N13">
    <cfRule type="cellIs" dxfId="20" priority="17" operator="notEqual">
      <formula>""</formula>
    </cfRule>
  </conditionalFormatting>
  <conditionalFormatting sqref="N23">
    <cfRule type="cellIs" dxfId="19" priority="19" operator="notEqual">
      <formula>""</formula>
    </cfRule>
  </conditionalFormatting>
  <conditionalFormatting sqref="N38">
    <cfRule type="cellIs" dxfId="18" priority="112" operator="notEqual">
      <formula>""</formula>
    </cfRule>
  </conditionalFormatting>
  <conditionalFormatting sqref="N58:N60">
    <cfRule type="cellIs" dxfId="17" priority="136" operator="notEqual">
      <formula>""</formula>
    </cfRule>
  </conditionalFormatting>
  <conditionalFormatting sqref="N75">
    <cfRule type="cellIs" dxfId="16" priority="137" operator="notEqual">
      <formula>""</formula>
    </cfRule>
  </conditionalFormatting>
  <conditionalFormatting sqref="N97">
    <cfRule type="cellIs" dxfId="15" priority="5" operator="notEqual">
      <formula>""</formula>
    </cfRule>
  </conditionalFormatting>
  <conditionalFormatting sqref="N101:N113">
    <cfRule type="cellIs" dxfId="14" priority="36" operator="notEqual">
      <formula>""</formula>
    </cfRule>
  </conditionalFormatting>
  <conditionalFormatting sqref="N116:N119">
    <cfRule type="cellIs" dxfId="13" priority="120" operator="notEqual">
      <formula>""</formula>
    </cfRule>
  </conditionalFormatting>
  <conditionalFormatting sqref="N188">
    <cfRule type="cellIs" dxfId="12" priority="118" operator="notEqual">
      <formula>""</formula>
    </cfRule>
  </conditionalFormatting>
  <conditionalFormatting sqref="N199">
    <cfRule type="cellIs" dxfId="11" priority="109" operator="notEqual">
      <formula>""</formula>
    </cfRule>
  </conditionalFormatting>
  <conditionalFormatting sqref="N204">
    <cfRule type="cellIs" dxfId="10" priority="111" operator="notEqual">
      <formula>""</formula>
    </cfRule>
  </conditionalFormatting>
  <conditionalFormatting sqref="N228:N233">
    <cfRule type="cellIs" dxfId="9" priority="149" operator="notEqual">
      <formula>""</formula>
    </cfRule>
  </conditionalFormatting>
  <conditionalFormatting sqref="N238">
    <cfRule type="cellIs" dxfId="8" priority="18" operator="notEqual">
      <formula>""</formula>
    </cfRule>
  </conditionalFormatting>
  <conditionalFormatting sqref="N263">
    <cfRule type="cellIs" dxfId="7" priority="110" operator="notEqual">
      <formula>""</formula>
    </cfRule>
  </conditionalFormatting>
  <conditionalFormatting sqref="N7:O7">
    <cfRule type="cellIs" dxfId="6" priority="219" operator="notEqual">
      <formula>""</formula>
    </cfRule>
  </conditionalFormatting>
  <conditionalFormatting sqref="N65:O65">
    <cfRule type="cellIs" dxfId="5" priority="222" operator="notEqual">
      <formula>""</formula>
    </cfRule>
  </conditionalFormatting>
  <conditionalFormatting sqref="O66">
    <cfRule type="expression" dxfId="4" priority="229">
      <formula>#REF!&lt;&gt;""</formula>
    </cfRule>
  </conditionalFormatting>
  <dataValidations count="41">
    <dataValidation type="list" allowBlank="1" showInputMessage="1" showErrorMessage="1" sqref="I23" xr:uid="{00000000-0002-0000-0000-000000000000}">
      <formula1>"STANDARD,ATEX"</formula1>
    </dataValidation>
    <dataValidation type="list" allowBlank="1" showInputMessage="1" showErrorMessage="1" sqref="H45" xr:uid="{00000000-0002-0000-0000-000001000000}">
      <formula1>"H,V,C"</formula1>
    </dataValidation>
    <dataValidation type="list" allowBlank="1" showInputMessage="1" showErrorMessage="1" sqref="B38:D38" xr:uid="{00000000-0002-0000-0000-000002000000}">
      <formula1>mat_trasp</formula1>
    </dataValidation>
    <dataValidation type="list" allowBlank="1" showInputMessage="1" showErrorMessage="1" sqref="J58 J80" xr:uid="{00000000-0002-0000-0000-000003000000}">
      <formula1>"IP 44,IP 54,IP 55,IP 65,IP 66,IP 67,IP 68,-"</formula1>
    </dataValidation>
    <dataValidation type="list" allowBlank="1" showInputMessage="1" showErrorMessage="1" sqref="L58 L80" xr:uid="{00000000-0002-0000-0000-000004000000}">
      <formula1>"220,380,400,-"</formula1>
    </dataValidation>
    <dataValidation type="list" allowBlank="1" showInputMessage="1" showErrorMessage="1" sqref="B63:C63" xr:uid="{00000000-0002-0000-0000-000005000000}">
      <formula1>ol_tipi</formula1>
    </dataValidation>
    <dataValidation allowBlank="1" showInputMessage="1" showErrorMessage="1" sqref="J61 G115:H115 J81 G131:H133 H153 D155:D156 C115 I155:J156 H158:H161 F158:G158 I223:J224 L117:L126 I203:J204 D165 I200:I202 K164:L165 I207:I213 L167:L176 B163:B177 K171:K176 H167:H176 B181 D167:D179 C179 F187 I217 B204:B224 D205:D217 J207:J217 D49 G117:G119 I131:J151 G128 D203 L59:L61 J59 I127:J127 I179 D193:D196 J182:J196 F181 B190 C148:C165 F162:F165 G159:G161 I162:I163 D148:D151 L153 J158:J163 D114:D115 C120:D123 C126:D127 L81:L83 I115:I126 E117:E122 G120:H127 F124:G124 E125:F127 D124:D125 J83 B116 F115:F122 E115 L115 B119:B122 B124:B126 B128:B131 C131:C133 D129:E133 C135:D146 B133:B149 F131:F151 F154:F156 B151:B155 B157:B158 D159:D163 G157 B161 H164 J177:J179 I177 B183:B185 D188:D190 C182:D182 D184:D186 B187 B193:B196 I182:I198 B198:B202 D220:D224" xr:uid="{00000000-0002-0000-0000-000007000000}"/>
    <dataValidation type="list" allowBlank="1" showInputMessage="1" showErrorMessage="1" sqref="G92 J63:L63 J85:L85 E238" xr:uid="{00000000-0002-0000-0000-000008000000}">
      <formula1>opt</formula1>
    </dataValidation>
    <dataValidation type="list" allowBlank="1" showInputMessage="1" showErrorMessage="1" sqref="G75" xr:uid="{00000000-0002-0000-0000-000009000000}">
      <formula1>"-,Cl. 8.8,39NiCrMo3"</formula1>
    </dataValidation>
    <dataValidation type="list" allowBlank="1" showInputMessage="1" showErrorMessage="1" sqref="E56:F56" xr:uid="{00000000-0002-0000-0000-00000A000000}">
      <formula1>mot_opt</formula1>
    </dataValidation>
    <dataValidation type="list" allowBlank="1" showInputMessage="1" showErrorMessage="1" sqref="D129:D130 D120:D127" xr:uid="{00000000-0002-0000-0000-00000B000000}">
      <formula1>"H,V,-"</formula1>
    </dataValidation>
    <dataValidation type="list" allowBlank="1" showInputMessage="1" showErrorMessage="1" sqref="E129:E130 E125:E127 E121:E122 F124 E114:E115 E117:E119" xr:uid="{00000000-0002-0000-0000-00000C000000}">
      <formula1>casse_L</formula1>
    </dataValidation>
    <dataValidation type="list" allowBlank="1" showInputMessage="1" showErrorMessage="1" sqref="D117:D119" xr:uid="{00000000-0002-0000-0000-00000D000000}">
      <formula1>curva_ang</formula1>
    </dataValidation>
    <dataValidation type="whole" errorStyle="warning" allowBlank="1" showInputMessage="1" showErrorMessage="1" errorTitle="Quantità curve inferiori" error="Valori consentiti:_x000a_0_x000a_1" sqref="C117" xr:uid="{00000000-0002-0000-0000-00000E000000}">
      <formula1>0</formula1>
      <formula2>1</formula2>
    </dataValidation>
    <dataValidation type="list" allowBlank="1" showInputMessage="1" showErrorMessage="1" sqref="D181:E181" xr:uid="{00000000-0002-0000-0000-00000F000000}">
      <formula1>gr_tipi</formula1>
    </dataValidation>
    <dataValidation type="list" allowBlank="1" showInputMessage="1" showErrorMessage="1" sqref="E228:G230" xr:uid="{00000000-0002-0000-0000-000010000000}">
      <formula1>sns_cr</formula1>
    </dataValidation>
    <dataValidation type="list" allowBlank="1" showInputMessage="1" showErrorMessage="1" sqref="E231:G231" xr:uid="{00000000-0002-0000-0000-000012000000}">
      <formula1>sns_br</formula1>
    </dataValidation>
    <dataValidation type="list" allowBlank="1" showInputMessage="1" showErrorMessage="1" sqref="E58" xr:uid="{00000000-0002-0000-0000-000013000000}">
      <formula1>potenza</formula1>
    </dataValidation>
    <dataValidation type="list" allowBlank="1" showInputMessage="1" showErrorMessage="1" sqref="D204" xr:uid="{00000000-0002-0000-0000-000014000000}">
      <formula1>react_opt</formula1>
    </dataValidation>
    <dataValidation type="list" allowBlank="1" showInputMessage="1" showErrorMessage="1" sqref="E232:G232" xr:uid="{00000000-0002-0000-0000-000015000000}">
      <formula1>"Rembe RSK,-"</formula1>
    </dataValidation>
    <dataValidation type="whole" errorStyle="warning" allowBlank="1" showInputMessage="1" showErrorMessage="1" errorTitle="Quantità curve superiori" error="Valori consentiti:_x000a_0_x000a_1" sqref="C118:C119" xr:uid="{00000000-0002-0000-0000-000016000000}">
      <formula1>0</formula1>
      <formula2>1</formula2>
    </dataValidation>
    <dataValidation type="list" allowBlank="1" showInputMessage="1" showErrorMessage="1" sqref="B230" xr:uid="{00000000-0002-0000-0000-000017000000}">
      <formula1>"-,4"</formula1>
    </dataValidation>
    <dataValidation type="list" allowBlank="1" showInputMessage="1" showErrorMessage="1" sqref="G128 F114:F122 G124 F125:F127 F134" xr:uid="{00000000-0002-0000-0000-000018000000}">
      <formula1>"-,X"</formula1>
    </dataValidation>
    <dataValidation type="list" allowBlank="1" showInputMessage="1" showErrorMessage="1" sqref="D67" xr:uid="{00000000-0002-0000-0000-000019000000}">
      <formula1>"-,15,18,21"</formula1>
    </dataValidation>
    <dataValidation type="list" allowBlank="1" showInputMessage="1" showErrorMessage="1" sqref="G129:I130" xr:uid="{00000000-0002-0000-0000-00001A000000}">
      <formula1>"-,con contropiastra, senza contropiastra"</formula1>
    </dataValidation>
    <dataValidation type="list" allowBlank="1" showInputMessage="1" showErrorMessage="1" sqref="J82 J60" xr:uid="{00000000-0002-0000-0000-00001B000000}">
      <formula1>supply_opt</formula1>
    </dataValidation>
    <dataValidation type="list" allowBlank="1" showInputMessage="1" showErrorMessage="1" sqref="B42" xr:uid="{00000000-0002-0000-0000-00001C000000}">
      <formula1>"24,30,40,50,60,80"</formula1>
    </dataValidation>
    <dataValidation type="list" allowBlank="1" showInputMessage="1" showErrorMessage="1" sqref="C42" xr:uid="{00000000-0002-0000-0000-00001D000000}">
      <formula1>INDIRECT(CONCATENATE("TKK_",$B$42,"_H"))</formula1>
    </dataValidation>
    <dataValidation type="list" allowBlank="1" showInputMessage="1" showErrorMessage="1" sqref="D42" xr:uid="{00000000-0002-0000-0000-00001E000000}">
      <formula1>cop_mat</formula1>
    </dataValidation>
    <dataValidation type="list" allowBlank="1" showInputMessage="1" showErrorMessage="1" sqref="E42" xr:uid="{00000000-0002-0000-0000-00001F000000}">
      <formula1>guida_mis</formula1>
    </dataValidation>
    <dataValidation type="list" allowBlank="1" showInputMessage="1" showErrorMessage="1" sqref="D164" xr:uid="{00000000-0002-0000-0000-000020000000}">
      <formula1>INDIRECT(CONCATENATE("sopporti_tipi_",RIGHT(mod_base,3)))</formula1>
    </dataValidation>
    <dataValidation type="list" allowBlank="1" showInputMessage="1" showErrorMessage="1" sqref="C58:D58" xr:uid="{00000000-0002-0000-0000-000022000000}">
      <formula1>INDIRECT($Z$64)</formula1>
    </dataValidation>
    <dataValidation type="list" allowBlank="1" showInputMessage="1" showErrorMessage="1" sqref="D101:D113" xr:uid="{00000000-0002-0000-0000-000023000000}">
      <formula1>casse_tipi</formula1>
    </dataValidation>
    <dataValidation type="list" allowBlank="1" showInputMessage="1" showErrorMessage="1" sqref="E101:E113" xr:uid="{00000000-0002-0000-0000-000024000000}">
      <formula1>INDIRECT(HLOOKUP(mod_base,casse_opt,2,FALSE))</formula1>
    </dataValidation>
    <dataValidation type="list" allowBlank="1" showInputMessage="1" showErrorMessage="1" sqref="H228:H232" xr:uid="{00000000-0002-0000-0000-000025000000}">
      <formula1>cavi_sns</formula1>
    </dataValidation>
    <dataValidation type="list" allowBlank="1" showInputMessage="1" showErrorMessage="1" sqref="B252" xr:uid="{AF8507F3-EB7B-412B-804D-B550529F1853}">
      <formula1>"-,Standard,Coibentato"</formula1>
    </dataValidation>
    <dataValidation type="list" allowBlank="1" showInputMessage="1" showErrorMessage="1" sqref="B80" xr:uid="{03FCB874-5025-43FE-9049-3AA4BE0819F2}">
      <formula1>"-,1,2"</formula1>
    </dataValidation>
    <dataValidation type="list" allowBlank="1" showInputMessage="1" showErrorMessage="1" sqref="N4" xr:uid="{67777496-D15A-46B9-A4EB-37B0DC041505}">
      <formula1>lingue</formula1>
    </dataValidation>
    <dataValidation type="list" allowBlank="1" showInputMessage="1" showErrorMessage="1" sqref="I63 I85" xr:uid="{D0BB9DB5-E9E6-4F49-B8A4-568896CE7677}">
      <formula1>inst_opt</formula1>
    </dataValidation>
    <dataValidation type="list" allowBlank="1" showInputMessage="1" showErrorMessage="1" sqref="D8" xr:uid="{89D3A4D3-EE1D-4697-94BD-493127B11D19}">
      <formula1>"TM Romania,TM China,TM India"</formula1>
    </dataValidation>
    <dataValidation type="list" allowBlank="1" showInputMessage="1" showErrorMessage="1" sqref="E233:G233" xr:uid="{09A00C6B-ADCC-4429-A323-6DC1D3FE044E}">
      <formula1>sns_liv</formula1>
    </dataValidation>
  </dataValidations>
  <hyperlinks>
    <hyperlink ref="I97:J98" location="nota_1" display="nota_1" xr:uid="{00000000-0004-0000-0000-000000000000}"/>
    <hyperlink ref="J5:L5" location="nota_1" display="nota_1" xr:uid="{00000000-0004-0000-0000-000001000000}"/>
  </hyperlinks>
  <pageMargins left="0.39370078740157483" right="0.19685039370078741" top="0.51181102362204722" bottom="0.59055118110236227" header="0.31496062992125984" footer="0.31496062992125984"/>
  <pageSetup paperSize="9" fitToHeight="0" orientation="portrait" r:id="rId1"/>
  <headerFooter>
    <oddFooter>&amp;L&amp;"Tahoma,Grassetto"&amp;F&amp;CStampato: &amp;D&amp;R&amp;P / &amp;N</oddFooter>
  </headerFooter>
  <rowBreaks count="1" manualBreakCount="1">
    <brk id="235"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37"/>
  <sheetViews>
    <sheetView showGridLines="0" zoomScaleNormal="100" workbookViewId="0">
      <selection activeCell="D24" sqref="D24:G24"/>
    </sheetView>
  </sheetViews>
  <sheetFormatPr defaultRowHeight="15" customHeight="1" x14ac:dyDescent="0.15"/>
  <cols>
    <col min="1" max="4" width="11.83203125" style="2" customWidth="1"/>
    <col min="5" max="6" width="15.83203125" style="2" customWidth="1"/>
    <col min="7" max="11" width="11.83203125" style="2" customWidth="1"/>
    <col min="12" max="12" width="11.33203125" style="2" customWidth="1"/>
    <col min="13" max="252" width="9.33203125" style="2"/>
    <col min="253" max="263" width="11.83203125" style="2" customWidth="1"/>
    <col min="264" max="264" width="11.33203125" style="2" customWidth="1"/>
    <col min="265" max="508" width="9.33203125" style="2"/>
    <col min="509" max="519" width="11.83203125" style="2" customWidth="1"/>
    <col min="520" max="520" width="11.33203125" style="2" customWidth="1"/>
    <col min="521" max="764" width="9.33203125" style="2"/>
    <col min="765" max="775" width="11.83203125" style="2" customWidth="1"/>
    <col min="776" max="776" width="11.33203125" style="2" customWidth="1"/>
    <col min="777" max="1020" width="9.33203125" style="2"/>
    <col min="1021" max="1031" width="11.83203125" style="2" customWidth="1"/>
    <col min="1032" max="1032" width="11.33203125" style="2" customWidth="1"/>
    <col min="1033" max="1276" width="9.33203125" style="2"/>
    <col min="1277" max="1287" width="11.83203125" style="2" customWidth="1"/>
    <col min="1288" max="1288" width="11.33203125" style="2" customWidth="1"/>
    <col min="1289" max="1532" width="9.33203125" style="2"/>
    <col min="1533" max="1543" width="11.83203125" style="2" customWidth="1"/>
    <col min="1544" max="1544" width="11.33203125" style="2" customWidth="1"/>
    <col min="1545" max="1788" width="9.33203125" style="2"/>
    <col min="1789" max="1799" width="11.83203125" style="2" customWidth="1"/>
    <col min="1800" max="1800" width="11.33203125" style="2" customWidth="1"/>
    <col min="1801" max="2044" width="9.33203125" style="2"/>
    <col min="2045" max="2055" width="11.83203125" style="2" customWidth="1"/>
    <col min="2056" max="2056" width="11.33203125" style="2" customWidth="1"/>
    <col min="2057" max="2300" width="9.33203125" style="2"/>
    <col min="2301" max="2311" width="11.83203125" style="2" customWidth="1"/>
    <col min="2312" max="2312" width="11.33203125" style="2" customWidth="1"/>
    <col min="2313" max="2556" width="9.33203125" style="2"/>
    <col min="2557" max="2567" width="11.83203125" style="2" customWidth="1"/>
    <col min="2568" max="2568" width="11.33203125" style="2" customWidth="1"/>
    <col min="2569" max="2812" width="9.33203125" style="2"/>
    <col min="2813" max="2823" width="11.83203125" style="2" customWidth="1"/>
    <col min="2824" max="2824" width="11.33203125" style="2" customWidth="1"/>
    <col min="2825" max="3068" width="9.33203125" style="2"/>
    <col min="3069" max="3079" width="11.83203125" style="2" customWidth="1"/>
    <col min="3080" max="3080" width="11.33203125" style="2" customWidth="1"/>
    <col min="3081" max="3324" width="9.33203125" style="2"/>
    <col min="3325" max="3335" width="11.83203125" style="2" customWidth="1"/>
    <col min="3336" max="3336" width="11.33203125" style="2" customWidth="1"/>
    <col min="3337" max="3580" width="9.33203125" style="2"/>
    <col min="3581" max="3591" width="11.83203125" style="2" customWidth="1"/>
    <col min="3592" max="3592" width="11.33203125" style="2" customWidth="1"/>
    <col min="3593" max="3836" width="9.33203125" style="2"/>
    <col min="3837" max="3847" width="11.83203125" style="2" customWidth="1"/>
    <col min="3848" max="3848" width="11.33203125" style="2" customWidth="1"/>
    <col min="3849" max="4092" width="9.33203125" style="2"/>
    <col min="4093" max="4103" width="11.83203125" style="2" customWidth="1"/>
    <col min="4104" max="4104" width="11.33203125" style="2" customWidth="1"/>
    <col min="4105" max="4348" width="9.33203125" style="2"/>
    <col min="4349" max="4359" width="11.83203125" style="2" customWidth="1"/>
    <col min="4360" max="4360" width="11.33203125" style="2" customWidth="1"/>
    <col min="4361" max="4604" width="9.33203125" style="2"/>
    <col min="4605" max="4615" width="11.83203125" style="2" customWidth="1"/>
    <col min="4616" max="4616" width="11.33203125" style="2" customWidth="1"/>
    <col min="4617" max="4860" width="9.33203125" style="2"/>
    <col min="4861" max="4871" width="11.83203125" style="2" customWidth="1"/>
    <col min="4872" max="4872" width="11.33203125" style="2" customWidth="1"/>
    <col min="4873" max="5116" width="9.33203125" style="2"/>
    <col min="5117" max="5127" width="11.83203125" style="2" customWidth="1"/>
    <col min="5128" max="5128" width="11.33203125" style="2" customWidth="1"/>
    <col min="5129" max="5372" width="9.33203125" style="2"/>
    <col min="5373" max="5383" width="11.83203125" style="2" customWidth="1"/>
    <col min="5384" max="5384" width="11.33203125" style="2" customWidth="1"/>
    <col min="5385" max="5628" width="9.33203125" style="2"/>
    <col min="5629" max="5639" width="11.83203125" style="2" customWidth="1"/>
    <col min="5640" max="5640" width="11.33203125" style="2" customWidth="1"/>
    <col min="5641" max="5884" width="9.33203125" style="2"/>
    <col min="5885" max="5895" width="11.83203125" style="2" customWidth="1"/>
    <col min="5896" max="5896" width="11.33203125" style="2" customWidth="1"/>
    <col min="5897" max="6140" width="9.33203125" style="2"/>
    <col min="6141" max="6151" width="11.83203125" style="2" customWidth="1"/>
    <col min="6152" max="6152" width="11.33203125" style="2" customWidth="1"/>
    <col min="6153" max="6396" width="9.33203125" style="2"/>
    <col min="6397" max="6407" width="11.83203125" style="2" customWidth="1"/>
    <col min="6408" max="6408" width="11.33203125" style="2" customWidth="1"/>
    <col min="6409" max="6652" width="9.33203125" style="2"/>
    <col min="6653" max="6663" width="11.83203125" style="2" customWidth="1"/>
    <col min="6664" max="6664" width="11.33203125" style="2" customWidth="1"/>
    <col min="6665" max="6908" width="9.33203125" style="2"/>
    <col min="6909" max="6919" width="11.83203125" style="2" customWidth="1"/>
    <col min="6920" max="6920" width="11.33203125" style="2" customWidth="1"/>
    <col min="6921" max="7164" width="9.33203125" style="2"/>
    <col min="7165" max="7175" width="11.83203125" style="2" customWidth="1"/>
    <col min="7176" max="7176" width="11.33203125" style="2" customWidth="1"/>
    <col min="7177" max="7420" width="9.33203125" style="2"/>
    <col min="7421" max="7431" width="11.83203125" style="2" customWidth="1"/>
    <col min="7432" max="7432" width="11.33203125" style="2" customWidth="1"/>
    <col min="7433" max="7676" width="9.33203125" style="2"/>
    <col min="7677" max="7687" width="11.83203125" style="2" customWidth="1"/>
    <col min="7688" max="7688" width="11.33203125" style="2" customWidth="1"/>
    <col min="7689" max="7932" width="9.33203125" style="2"/>
    <col min="7933" max="7943" width="11.83203125" style="2" customWidth="1"/>
    <col min="7944" max="7944" width="11.33203125" style="2" customWidth="1"/>
    <col min="7945" max="8188" width="9.33203125" style="2"/>
    <col min="8189" max="8199" width="11.83203125" style="2" customWidth="1"/>
    <col min="8200" max="8200" width="11.33203125" style="2" customWidth="1"/>
    <col min="8201" max="8444" width="9.33203125" style="2"/>
    <col min="8445" max="8455" width="11.83203125" style="2" customWidth="1"/>
    <col min="8456" max="8456" width="11.33203125" style="2" customWidth="1"/>
    <col min="8457" max="8700" width="9.33203125" style="2"/>
    <col min="8701" max="8711" width="11.83203125" style="2" customWidth="1"/>
    <col min="8712" max="8712" width="11.33203125" style="2" customWidth="1"/>
    <col min="8713" max="8956" width="9.33203125" style="2"/>
    <col min="8957" max="8967" width="11.83203125" style="2" customWidth="1"/>
    <col min="8968" max="8968" width="11.33203125" style="2" customWidth="1"/>
    <col min="8969" max="9212" width="9.33203125" style="2"/>
    <col min="9213" max="9223" width="11.83203125" style="2" customWidth="1"/>
    <col min="9224" max="9224" width="11.33203125" style="2" customWidth="1"/>
    <col min="9225" max="9468" width="9.33203125" style="2"/>
    <col min="9469" max="9479" width="11.83203125" style="2" customWidth="1"/>
    <col min="9480" max="9480" width="11.33203125" style="2" customWidth="1"/>
    <col min="9481" max="9724" width="9.33203125" style="2"/>
    <col min="9725" max="9735" width="11.83203125" style="2" customWidth="1"/>
    <col min="9736" max="9736" width="11.33203125" style="2" customWidth="1"/>
    <col min="9737" max="9980" width="9.33203125" style="2"/>
    <col min="9981" max="9991" width="11.83203125" style="2" customWidth="1"/>
    <col min="9992" max="9992" width="11.33203125" style="2" customWidth="1"/>
    <col min="9993" max="10236" width="9.33203125" style="2"/>
    <col min="10237" max="10247" width="11.83203125" style="2" customWidth="1"/>
    <col min="10248" max="10248" width="11.33203125" style="2" customWidth="1"/>
    <col min="10249" max="10492" width="9.33203125" style="2"/>
    <col min="10493" max="10503" width="11.83203125" style="2" customWidth="1"/>
    <col min="10504" max="10504" width="11.33203125" style="2" customWidth="1"/>
    <col min="10505" max="10748" width="9.33203125" style="2"/>
    <col min="10749" max="10759" width="11.83203125" style="2" customWidth="1"/>
    <col min="10760" max="10760" width="11.33203125" style="2" customWidth="1"/>
    <col min="10761" max="11004" width="9.33203125" style="2"/>
    <col min="11005" max="11015" width="11.83203125" style="2" customWidth="1"/>
    <col min="11016" max="11016" width="11.33203125" style="2" customWidth="1"/>
    <col min="11017" max="11260" width="9.33203125" style="2"/>
    <col min="11261" max="11271" width="11.83203125" style="2" customWidth="1"/>
    <col min="11272" max="11272" width="11.33203125" style="2" customWidth="1"/>
    <col min="11273" max="11516" width="9.33203125" style="2"/>
    <col min="11517" max="11527" width="11.83203125" style="2" customWidth="1"/>
    <col min="11528" max="11528" width="11.33203125" style="2" customWidth="1"/>
    <col min="11529" max="11772" width="9.33203125" style="2"/>
    <col min="11773" max="11783" width="11.83203125" style="2" customWidth="1"/>
    <col min="11784" max="11784" width="11.33203125" style="2" customWidth="1"/>
    <col min="11785" max="12028" width="9.33203125" style="2"/>
    <col min="12029" max="12039" width="11.83203125" style="2" customWidth="1"/>
    <col min="12040" max="12040" width="11.33203125" style="2" customWidth="1"/>
    <col min="12041" max="12284" width="9.33203125" style="2"/>
    <col min="12285" max="12295" width="11.83203125" style="2" customWidth="1"/>
    <col min="12296" max="12296" width="11.33203125" style="2" customWidth="1"/>
    <col min="12297" max="12540" width="9.33203125" style="2"/>
    <col min="12541" max="12551" width="11.83203125" style="2" customWidth="1"/>
    <col min="12552" max="12552" width="11.33203125" style="2" customWidth="1"/>
    <col min="12553" max="12796" width="9.33203125" style="2"/>
    <col min="12797" max="12807" width="11.83203125" style="2" customWidth="1"/>
    <col min="12808" max="12808" width="11.33203125" style="2" customWidth="1"/>
    <col min="12809" max="13052" width="9.33203125" style="2"/>
    <col min="13053" max="13063" width="11.83203125" style="2" customWidth="1"/>
    <col min="13064" max="13064" width="11.33203125" style="2" customWidth="1"/>
    <col min="13065" max="13308" width="9.33203125" style="2"/>
    <col min="13309" max="13319" width="11.83203125" style="2" customWidth="1"/>
    <col min="13320" max="13320" width="11.33203125" style="2" customWidth="1"/>
    <col min="13321" max="13564" width="9.33203125" style="2"/>
    <col min="13565" max="13575" width="11.83203125" style="2" customWidth="1"/>
    <col min="13576" max="13576" width="11.33203125" style="2" customWidth="1"/>
    <col min="13577" max="13820" width="9.33203125" style="2"/>
    <col min="13821" max="13831" width="11.83203125" style="2" customWidth="1"/>
    <col min="13832" max="13832" width="11.33203125" style="2" customWidth="1"/>
    <col min="13833" max="14076" width="9.33203125" style="2"/>
    <col min="14077" max="14087" width="11.83203125" style="2" customWidth="1"/>
    <col min="14088" max="14088" width="11.33203125" style="2" customWidth="1"/>
    <col min="14089" max="14332" width="9.33203125" style="2"/>
    <col min="14333" max="14343" width="11.83203125" style="2" customWidth="1"/>
    <col min="14344" max="14344" width="11.33203125" style="2" customWidth="1"/>
    <col min="14345" max="14588" width="9.33203125" style="2"/>
    <col min="14589" max="14599" width="11.83203125" style="2" customWidth="1"/>
    <col min="14600" max="14600" width="11.33203125" style="2" customWidth="1"/>
    <col min="14601" max="14844" width="9.33203125" style="2"/>
    <col min="14845" max="14855" width="11.83203125" style="2" customWidth="1"/>
    <col min="14856" max="14856" width="11.33203125" style="2" customWidth="1"/>
    <col min="14857" max="15100" width="9.33203125" style="2"/>
    <col min="15101" max="15111" width="11.83203125" style="2" customWidth="1"/>
    <col min="15112" max="15112" width="11.33203125" style="2" customWidth="1"/>
    <col min="15113" max="15356" width="9.33203125" style="2"/>
    <col min="15357" max="15367" width="11.83203125" style="2" customWidth="1"/>
    <col min="15368" max="15368" width="11.33203125" style="2" customWidth="1"/>
    <col min="15369" max="15612" width="9.33203125" style="2"/>
    <col min="15613" max="15623" width="11.83203125" style="2" customWidth="1"/>
    <col min="15624" max="15624" width="11.33203125" style="2" customWidth="1"/>
    <col min="15625" max="15868" width="9.33203125" style="2"/>
    <col min="15869" max="15879" width="11.83203125" style="2" customWidth="1"/>
    <col min="15880" max="15880" width="11.33203125" style="2" customWidth="1"/>
    <col min="15881" max="16124" width="9.33203125" style="2"/>
    <col min="16125" max="16135" width="11.83203125" style="2" customWidth="1"/>
    <col min="16136" max="16136" width="11.33203125" style="2" customWidth="1"/>
    <col min="16137" max="16384" width="9.33203125" style="2"/>
  </cols>
  <sheetData>
    <row r="1" spans="1:11" ht="19.5" x14ac:dyDescent="0.15">
      <c r="A1" s="9" t="str">
        <f>VLOOKUP("G01",trad_termini,ID_lingua,FALSE)</f>
        <v>Data Plate</v>
      </c>
    </row>
    <row r="6" spans="1:11" ht="15" customHeight="1" x14ac:dyDescent="0.15">
      <c r="A6" s="19" t="str">
        <f>VLOOKUP("G02",trad_termini,ID_lingua,FALSE)</f>
        <v>ATEX Marking</v>
      </c>
      <c r="B6" s="20"/>
      <c r="C6" s="20"/>
      <c r="D6" s="20"/>
      <c r="E6" s="20"/>
      <c r="F6" s="20"/>
      <c r="G6" s="20"/>
      <c r="I6" s="20"/>
      <c r="J6" s="20"/>
      <c r="K6" s="20"/>
    </row>
    <row r="7" spans="1:11" ht="15" customHeight="1" x14ac:dyDescent="0.15">
      <c r="A7" s="21" t="str">
        <f>VLOOKUP("G03",trad_termini,ID_lingua,FALSE)</f>
        <v>Marking</v>
      </c>
      <c r="B7" s="21" t="str">
        <f>VLOOKUP("G04",trad_termini,ID_lingua,FALSE)</f>
        <v>Internal Zone</v>
      </c>
      <c r="C7" s="21" t="str">
        <f>VLOOKUP("G05",trad_termini,ID_lingua,FALSE)</f>
        <v>External Zone</v>
      </c>
      <c r="D7" s="21" t="str">
        <f>VLOOKUP("G06",trad_termini,ID_lingua,FALSE)</f>
        <v>Limit Temp (°C)</v>
      </c>
      <c r="E7" s="256" t="str">
        <f>VLOOKUP("G07",trad_termini,ID_lingua,FALSE)</f>
        <v>ATEX Rating</v>
      </c>
      <c r="F7" s="256"/>
      <c r="G7" s="21" t="str">
        <f>VLOOKUP("G08",trad_termini,ID_lingua,FALSE)</f>
        <v>Tag</v>
      </c>
    </row>
    <row r="8" spans="1:11" ht="24.95" customHeight="1" x14ac:dyDescent="0.15">
      <c r="A8" s="55" t="str">
        <f>IF(cfg="ATEX","SI","NO")</f>
        <v>SI</v>
      </c>
      <c r="B8" s="22" t="s">
        <v>1570</v>
      </c>
      <c r="C8" s="22">
        <v>22</v>
      </c>
      <c r="D8" s="22">
        <v>135</v>
      </c>
      <c r="E8" s="257" t="s">
        <v>2087</v>
      </c>
      <c r="F8" s="258"/>
      <c r="G8" s="23" t="s">
        <v>61</v>
      </c>
    </row>
    <row r="9" spans="1:11" ht="9.9499999999999993" customHeight="1" x14ac:dyDescent="0.15">
      <c r="A9" s="20"/>
      <c r="B9" s="20"/>
      <c r="C9" s="20"/>
      <c r="D9" s="20"/>
      <c r="E9" s="20"/>
      <c r="F9" s="20"/>
      <c r="G9" s="20"/>
      <c r="H9" s="20"/>
      <c r="I9" s="20"/>
      <c r="J9" s="20"/>
      <c r="K9" s="20"/>
    </row>
    <row r="10" spans="1:11" ht="9.9499999999999993" customHeight="1" x14ac:dyDescent="0.15">
      <c r="A10" s="20"/>
      <c r="B10" s="20"/>
      <c r="C10" s="20"/>
      <c r="D10" s="20"/>
      <c r="E10" s="20"/>
      <c r="F10" s="20"/>
      <c r="G10" s="20"/>
      <c r="H10" s="20"/>
      <c r="I10" s="20"/>
      <c r="J10" s="20"/>
      <c r="K10" s="20"/>
    </row>
    <row r="11" spans="1:11" ht="9.9499999999999993" customHeight="1" x14ac:dyDescent="0.15">
      <c r="A11" s="20"/>
      <c r="B11" s="20"/>
      <c r="C11" s="20"/>
      <c r="D11" s="20"/>
      <c r="E11" s="20"/>
      <c r="F11" s="20"/>
      <c r="G11" s="20"/>
      <c r="H11" s="20"/>
      <c r="I11" s="20"/>
      <c r="J11" s="20"/>
      <c r="K11" s="20"/>
    </row>
    <row r="12" spans="1:11" ht="15" customHeight="1" x14ac:dyDescent="0.15">
      <c r="A12" s="19" t="str">
        <f>VLOOKUP("G09",trad_termini,ID_lingua,FALSE)</f>
        <v>EAC Marking</v>
      </c>
    </row>
    <row r="13" spans="1:11" ht="15" customHeight="1" x14ac:dyDescent="0.15">
      <c r="A13" s="21" t="str">
        <f>VLOOKUP("G03",trad_termini,ID_lingua,FALSE)</f>
        <v>Marking</v>
      </c>
    </row>
    <row r="14" spans="1:11" ht="24.95" customHeight="1" x14ac:dyDescent="0.15">
      <c r="A14" s="22" t="s">
        <v>72</v>
      </c>
    </row>
    <row r="17" spans="1:25" ht="15" customHeight="1" x14ac:dyDescent="0.15">
      <c r="A17" s="19" t="str">
        <f>VLOOKUP("G10",trad_termini,ID_lingua,FALSE)</f>
        <v>Plate</v>
      </c>
      <c r="B17" s="24"/>
      <c r="C17" s="24"/>
      <c r="D17" s="24"/>
      <c r="E17" s="24"/>
      <c r="F17" s="24"/>
      <c r="G17" s="24"/>
      <c r="H17" s="24"/>
      <c r="I17" s="24"/>
      <c r="J17" s="24"/>
      <c r="K17" s="24"/>
    </row>
    <row r="18" spans="1:25" ht="9.9499999999999993" customHeight="1" x14ac:dyDescent="0.15"/>
    <row r="19" spans="1:25" ht="18" customHeight="1" x14ac:dyDescent="0.15">
      <c r="B19" s="25"/>
      <c r="C19" s="26"/>
      <c r="D19" s="26"/>
      <c r="E19" s="26"/>
      <c r="F19" s="26"/>
      <c r="G19" s="26"/>
      <c r="H19" s="27"/>
      <c r="I19" s="259" t="str">
        <f>IF(E8="-",CONCATENATE(CHAR(10),CHAR(10),"NON APPLICABILE"),CONCATENATE(CHAR(10),CHAR(10),E8))</f>
        <v xml:space="preserve">
II -/3 D Ex h IIIC T135°C -/Dc</v>
      </c>
      <c r="J19" s="260"/>
      <c r="K19" s="265" t="str">
        <f>IF(Ex_tag&lt;&gt;"-",Ex_tag,"")</f>
        <v>E</v>
      </c>
    </row>
    <row r="20" spans="1:25" ht="18" customHeight="1" x14ac:dyDescent="0.15">
      <c r="B20" s="28"/>
      <c r="C20" s="29"/>
      <c r="D20" s="29"/>
      <c r="E20" s="29"/>
      <c r="F20" s="29"/>
      <c r="G20" s="29"/>
      <c r="H20" s="30"/>
      <c r="I20" s="261"/>
      <c r="J20" s="262"/>
      <c r="K20" s="265"/>
    </row>
    <row r="21" spans="1:25" ht="18" customHeight="1" x14ac:dyDescent="0.15">
      <c r="B21" s="28"/>
      <c r="C21" s="29"/>
      <c r="D21" s="29"/>
      <c r="E21" s="29"/>
      <c r="F21" s="29"/>
      <c r="G21" s="29"/>
      <c r="H21" s="30"/>
      <c r="I21" s="261"/>
      <c r="J21" s="262"/>
      <c r="K21" s="265"/>
    </row>
    <row r="22" spans="1:25" ht="18" customHeight="1" x14ac:dyDescent="0.15">
      <c r="B22" s="28"/>
      <c r="C22" s="29"/>
      <c r="D22" s="29"/>
      <c r="E22" s="29"/>
      <c r="F22" s="29"/>
      <c r="G22" s="29"/>
      <c r="H22" s="30"/>
      <c r="I22" s="261"/>
      <c r="J22" s="262"/>
      <c r="K22" s="265"/>
      <c r="Y22" s="31"/>
    </row>
    <row r="23" spans="1:25" ht="24.95" customHeight="1" x14ac:dyDescent="0.15">
      <c r="B23" s="28"/>
      <c r="C23" s="29"/>
      <c r="D23" s="29"/>
      <c r="E23" s="29"/>
      <c r="F23" s="29"/>
      <c r="G23" s="29"/>
      <c r="H23" s="30"/>
      <c r="I23" s="263"/>
      <c r="J23" s="264"/>
      <c r="K23" s="265"/>
    </row>
    <row r="24" spans="1:25" ht="24.95" customHeight="1" x14ac:dyDescent="0.15">
      <c r="B24" s="28"/>
      <c r="C24" s="32" t="s">
        <v>74</v>
      </c>
      <c r="D24" s="266" t="str">
        <f>macchina_cod</f>
        <v>TKK40 BRZ STD-C</v>
      </c>
      <c r="E24" s="267"/>
      <c r="F24" s="267"/>
      <c r="G24" s="268"/>
      <c r="H24" s="30"/>
      <c r="I24" s="269"/>
      <c r="J24" s="270"/>
    </row>
    <row r="25" spans="1:25" ht="5.0999999999999996" customHeight="1" x14ac:dyDescent="0.15">
      <c r="B25" s="28"/>
      <c r="C25" s="33"/>
      <c r="D25" s="29"/>
      <c r="E25" s="29"/>
      <c r="F25" s="29"/>
      <c r="G25" s="29"/>
      <c r="H25" s="30"/>
      <c r="I25" s="271"/>
      <c r="J25" s="272"/>
    </row>
    <row r="26" spans="1:25" ht="24.95" customHeight="1" x14ac:dyDescent="0.15">
      <c r="B26" s="28"/>
      <c r="C26" s="32" t="s">
        <v>75</v>
      </c>
      <c r="D26" s="266" t="str">
        <f>matr</f>
        <v>BE0807C-R007642</v>
      </c>
      <c r="E26" s="267"/>
      <c r="F26" s="267"/>
      <c r="G26" s="268"/>
      <c r="H26" s="30"/>
      <c r="I26" s="271"/>
      <c r="J26" s="272"/>
    </row>
    <row r="27" spans="1:25" ht="5.0999999999999996" customHeight="1" x14ac:dyDescent="0.15">
      <c r="B27" s="28"/>
      <c r="C27" s="33"/>
      <c r="D27" s="29"/>
      <c r="E27" s="29"/>
      <c r="F27" s="29"/>
      <c r="G27" s="29"/>
      <c r="H27" s="30"/>
      <c r="I27" s="271"/>
      <c r="J27" s="272"/>
    </row>
    <row r="28" spans="1:25" ht="24.95" customHeight="1" x14ac:dyDescent="0.15">
      <c r="B28" s="28"/>
      <c r="C28" s="32" t="s">
        <v>76</v>
      </c>
      <c r="D28" s="34">
        <f>anno</f>
        <v>2025</v>
      </c>
      <c r="E28" s="29"/>
      <c r="F28" s="29"/>
      <c r="G28" s="29"/>
      <c r="H28" s="30"/>
      <c r="I28" s="271"/>
      <c r="J28" s="272"/>
    </row>
    <row r="29" spans="1:25" ht="9.9499999999999993" customHeight="1" x14ac:dyDescent="0.15">
      <c r="B29" s="35"/>
      <c r="C29" s="36"/>
      <c r="D29" s="36"/>
      <c r="E29" s="36"/>
      <c r="F29" s="36"/>
      <c r="G29" s="36"/>
      <c r="H29" s="37"/>
      <c r="I29" s="273"/>
      <c r="J29" s="274"/>
    </row>
    <row r="33" spans="1:8" ht="15" customHeight="1" x14ac:dyDescent="0.15">
      <c r="A33" s="19" t="str">
        <f>VLOOKUP("G11",trad_termini,ID_lingua,FALSE)</f>
        <v>Grounding</v>
      </c>
    </row>
    <row r="35" spans="1:8" ht="15" customHeight="1" x14ac:dyDescent="0.15">
      <c r="A35" s="275" t="s">
        <v>185</v>
      </c>
      <c r="B35" s="276" t="str">
        <f>VLOOKUP("G12",trad_termini,ID_lingua,FALSE)</f>
        <v>Prepare the machine with grounding connections</v>
      </c>
      <c r="C35" s="277"/>
      <c r="D35" s="277"/>
      <c r="E35" s="277"/>
      <c r="F35" s="277"/>
      <c r="G35" s="277"/>
      <c r="H35" s="277"/>
    </row>
    <row r="36" spans="1:8" ht="15" customHeight="1" x14ac:dyDescent="0.15">
      <c r="A36" s="275"/>
      <c r="B36" s="276"/>
      <c r="C36" s="277"/>
      <c r="D36" s="277"/>
      <c r="E36" s="277"/>
      <c r="F36" s="277"/>
      <c r="G36" s="277"/>
      <c r="H36" s="277"/>
    </row>
    <row r="37" spans="1:8" ht="15" customHeight="1" x14ac:dyDescent="0.15">
      <c r="A37" s="275"/>
      <c r="B37" s="276"/>
      <c r="C37" s="277"/>
      <c r="D37" s="277"/>
      <c r="E37" s="277"/>
      <c r="F37" s="277"/>
      <c r="G37" s="277"/>
      <c r="H37" s="277"/>
    </row>
  </sheetData>
  <sheetProtection selectLockedCells="1"/>
  <mergeCells count="9">
    <mergeCell ref="A35:A37"/>
    <mergeCell ref="B35:H37"/>
    <mergeCell ref="E7:F7"/>
    <mergeCell ref="E8:F8"/>
    <mergeCell ref="I19:J23"/>
    <mergeCell ref="K19:K23"/>
    <mergeCell ref="D24:G24"/>
    <mergeCell ref="I24:J29"/>
    <mergeCell ref="D26:G26"/>
  </mergeCells>
  <conditionalFormatting sqref="B8:D8">
    <cfRule type="expression" dxfId="3" priority="1">
      <formula>$A$8="NO"</formula>
    </cfRule>
  </conditionalFormatting>
  <conditionalFormatting sqref="I19:J23">
    <cfRule type="expression" dxfId="2" priority="4">
      <formula>$A$8="NO"</formula>
    </cfRule>
  </conditionalFormatting>
  <conditionalFormatting sqref="I24:J29">
    <cfRule type="expression" dxfId="1" priority="5">
      <formula>EAC_tag="NO"</formula>
    </cfRule>
  </conditionalFormatting>
  <dataValidations disablePrompts="1" count="8">
    <dataValidation type="list" allowBlank="1" showInputMessage="1" showErrorMessage="1" sqref="D8" xr:uid="{00000000-0002-0000-0100-000000000000}">
      <formula1>"135,200,-"</formula1>
    </dataValidation>
    <dataValidation type="list" allowBlank="1" showInputMessage="1" showErrorMessage="1" sqref="A14" xr:uid="{00000000-0002-0000-0100-000001000000}">
      <formula1>opt</formula1>
    </dataValidation>
    <dataValidation type="list" allowBlank="1" showInputMessage="1" showErrorMessage="1" sqref="C8" xr:uid="{00000000-0002-0000-0100-000002000000}">
      <formula1>"SICURA,22,-"</formula1>
    </dataValidation>
    <dataValidation type="list" allowBlank="1" showInputMessage="1" showErrorMessage="1" sqref="B8" xr:uid="{00000000-0002-0000-0100-000003000000}">
      <formula1>"21,22,SICURA,-"</formula1>
    </dataValidation>
    <dataValidation type="list" allowBlank="1" showInputMessage="1" showErrorMessage="1" sqref="I65550 JA65550 SW65550 ACS65550 AMO65550 AWK65550 BGG65550 BQC65550 BZY65550 CJU65550 CTQ65550 DDM65550 DNI65550 DXE65550 EHA65550 EQW65550 FAS65550 FKO65550 FUK65550 GEG65550 GOC65550 GXY65550 HHU65550 HRQ65550 IBM65550 ILI65550 IVE65550 JFA65550 JOW65550 JYS65550 KIO65550 KSK65550 LCG65550 LMC65550 LVY65550 MFU65550 MPQ65550 MZM65550 NJI65550 NTE65550 ODA65550 OMW65550 OWS65550 PGO65550 PQK65550 QAG65550 QKC65550 QTY65550 RDU65550 RNQ65550 RXM65550 SHI65550 SRE65550 TBA65550 TKW65550 TUS65550 UEO65550 UOK65550 UYG65550 VIC65550 VRY65550 WBU65550 WLQ65550 WVM65550 I131086 JA131086 SW131086 ACS131086 AMO131086 AWK131086 BGG131086 BQC131086 BZY131086 CJU131086 CTQ131086 DDM131086 DNI131086 DXE131086 EHA131086 EQW131086 FAS131086 FKO131086 FUK131086 GEG131086 GOC131086 GXY131086 HHU131086 HRQ131086 IBM131086 ILI131086 IVE131086 JFA131086 JOW131086 JYS131086 KIO131086 KSK131086 LCG131086 LMC131086 LVY131086 MFU131086 MPQ131086 MZM131086 NJI131086 NTE131086 ODA131086 OMW131086 OWS131086 PGO131086 PQK131086 QAG131086 QKC131086 QTY131086 RDU131086 RNQ131086 RXM131086 SHI131086 SRE131086 TBA131086 TKW131086 TUS131086 UEO131086 UOK131086 UYG131086 VIC131086 VRY131086 WBU131086 WLQ131086 WVM131086 I196622 JA196622 SW196622 ACS196622 AMO196622 AWK196622 BGG196622 BQC196622 BZY196622 CJU196622 CTQ196622 DDM196622 DNI196622 DXE196622 EHA196622 EQW196622 FAS196622 FKO196622 FUK196622 GEG196622 GOC196622 GXY196622 HHU196622 HRQ196622 IBM196622 ILI196622 IVE196622 JFA196622 JOW196622 JYS196622 KIO196622 KSK196622 LCG196622 LMC196622 LVY196622 MFU196622 MPQ196622 MZM196622 NJI196622 NTE196622 ODA196622 OMW196622 OWS196622 PGO196622 PQK196622 QAG196622 QKC196622 QTY196622 RDU196622 RNQ196622 RXM196622 SHI196622 SRE196622 TBA196622 TKW196622 TUS196622 UEO196622 UOK196622 UYG196622 VIC196622 VRY196622 WBU196622 WLQ196622 WVM196622 I262158 JA262158 SW262158 ACS262158 AMO262158 AWK262158 BGG262158 BQC262158 BZY262158 CJU262158 CTQ262158 DDM262158 DNI262158 DXE262158 EHA262158 EQW262158 FAS262158 FKO262158 FUK262158 GEG262158 GOC262158 GXY262158 HHU262158 HRQ262158 IBM262158 ILI262158 IVE262158 JFA262158 JOW262158 JYS262158 KIO262158 KSK262158 LCG262158 LMC262158 LVY262158 MFU262158 MPQ262158 MZM262158 NJI262158 NTE262158 ODA262158 OMW262158 OWS262158 PGO262158 PQK262158 QAG262158 QKC262158 QTY262158 RDU262158 RNQ262158 RXM262158 SHI262158 SRE262158 TBA262158 TKW262158 TUS262158 UEO262158 UOK262158 UYG262158 VIC262158 VRY262158 WBU262158 WLQ262158 WVM262158 I327694 JA327694 SW327694 ACS327694 AMO327694 AWK327694 BGG327694 BQC327694 BZY327694 CJU327694 CTQ327694 DDM327694 DNI327694 DXE327694 EHA327694 EQW327694 FAS327694 FKO327694 FUK327694 GEG327694 GOC327694 GXY327694 HHU327694 HRQ327694 IBM327694 ILI327694 IVE327694 JFA327694 JOW327694 JYS327694 KIO327694 KSK327694 LCG327694 LMC327694 LVY327694 MFU327694 MPQ327694 MZM327694 NJI327694 NTE327694 ODA327694 OMW327694 OWS327694 PGO327694 PQK327694 QAG327694 QKC327694 QTY327694 RDU327694 RNQ327694 RXM327694 SHI327694 SRE327694 TBA327694 TKW327694 TUS327694 UEO327694 UOK327694 UYG327694 VIC327694 VRY327694 WBU327694 WLQ327694 WVM327694 I393230 JA393230 SW393230 ACS393230 AMO393230 AWK393230 BGG393230 BQC393230 BZY393230 CJU393230 CTQ393230 DDM393230 DNI393230 DXE393230 EHA393230 EQW393230 FAS393230 FKO393230 FUK393230 GEG393230 GOC393230 GXY393230 HHU393230 HRQ393230 IBM393230 ILI393230 IVE393230 JFA393230 JOW393230 JYS393230 KIO393230 KSK393230 LCG393230 LMC393230 LVY393230 MFU393230 MPQ393230 MZM393230 NJI393230 NTE393230 ODA393230 OMW393230 OWS393230 PGO393230 PQK393230 QAG393230 QKC393230 QTY393230 RDU393230 RNQ393230 RXM393230 SHI393230 SRE393230 TBA393230 TKW393230 TUS393230 UEO393230 UOK393230 UYG393230 VIC393230 VRY393230 WBU393230 WLQ393230 WVM393230 I458766 JA458766 SW458766 ACS458766 AMO458766 AWK458766 BGG458766 BQC458766 BZY458766 CJU458766 CTQ458766 DDM458766 DNI458766 DXE458766 EHA458766 EQW458766 FAS458766 FKO458766 FUK458766 GEG458766 GOC458766 GXY458766 HHU458766 HRQ458766 IBM458766 ILI458766 IVE458766 JFA458766 JOW458766 JYS458766 KIO458766 KSK458766 LCG458766 LMC458766 LVY458766 MFU458766 MPQ458766 MZM458766 NJI458766 NTE458766 ODA458766 OMW458766 OWS458766 PGO458766 PQK458766 QAG458766 QKC458766 QTY458766 RDU458766 RNQ458766 RXM458766 SHI458766 SRE458766 TBA458766 TKW458766 TUS458766 UEO458766 UOK458766 UYG458766 VIC458766 VRY458766 WBU458766 WLQ458766 WVM458766 I524302 JA524302 SW524302 ACS524302 AMO524302 AWK524302 BGG524302 BQC524302 BZY524302 CJU524302 CTQ524302 DDM524302 DNI524302 DXE524302 EHA524302 EQW524302 FAS524302 FKO524302 FUK524302 GEG524302 GOC524302 GXY524302 HHU524302 HRQ524302 IBM524302 ILI524302 IVE524302 JFA524302 JOW524302 JYS524302 KIO524302 KSK524302 LCG524302 LMC524302 LVY524302 MFU524302 MPQ524302 MZM524302 NJI524302 NTE524302 ODA524302 OMW524302 OWS524302 PGO524302 PQK524302 QAG524302 QKC524302 QTY524302 RDU524302 RNQ524302 RXM524302 SHI524302 SRE524302 TBA524302 TKW524302 TUS524302 UEO524302 UOK524302 UYG524302 VIC524302 VRY524302 WBU524302 WLQ524302 WVM524302 I589838 JA589838 SW589838 ACS589838 AMO589838 AWK589838 BGG589838 BQC589838 BZY589838 CJU589838 CTQ589838 DDM589838 DNI589838 DXE589838 EHA589838 EQW589838 FAS589838 FKO589838 FUK589838 GEG589838 GOC589838 GXY589838 HHU589838 HRQ589838 IBM589838 ILI589838 IVE589838 JFA589838 JOW589838 JYS589838 KIO589838 KSK589838 LCG589838 LMC589838 LVY589838 MFU589838 MPQ589838 MZM589838 NJI589838 NTE589838 ODA589838 OMW589838 OWS589838 PGO589838 PQK589838 QAG589838 QKC589838 QTY589838 RDU589838 RNQ589838 RXM589838 SHI589838 SRE589838 TBA589838 TKW589838 TUS589838 UEO589838 UOK589838 UYG589838 VIC589838 VRY589838 WBU589838 WLQ589838 WVM589838 I655374 JA655374 SW655374 ACS655374 AMO655374 AWK655374 BGG655374 BQC655374 BZY655374 CJU655374 CTQ655374 DDM655374 DNI655374 DXE655374 EHA655374 EQW655374 FAS655374 FKO655374 FUK655374 GEG655374 GOC655374 GXY655374 HHU655374 HRQ655374 IBM655374 ILI655374 IVE655374 JFA655374 JOW655374 JYS655374 KIO655374 KSK655374 LCG655374 LMC655374 LVY655374 MFU655374 MPQ655374 MZM655374 NJI655374 NTE655374 ODA655374 OMW655374 OWS655374 PGO655374 PQK655374 QAG655374 QKC655374 QTY655374 RDU655374 RNQ655374 RXM655374 SHI655374 SRE655374 TBA655374 TKW655374 TUS655374 UEO655374 UOK655374 UYG655374 VIC655374 VRY655374 WBU655374 WLQ655374 WVM655374 I720910 JA720910 SW720910 ACS720910 AMO720910 AWK720910 BGG720910 BQC720910 BZY720910 CJU720910 CTQ720910 DDM720910 DNI720910 DXE720910 EHA720910 EQW720910 FAS720910 FKO720910 FUK720910 GEG720910 GOC720910 GXY720910 HHU720910 HRQ720910 IBM720910 ILI720910 IVE720910 JFA720910 JOW720910 JYS720910 KIO720910 KSK720910 LCG720910 LMC720910 LVY720910 MFU720910 MPQ720910 MZM720910 NJI720910 NTE720910 ODA720910 OMW720910 OWS720910 PGO720910 PQK720910 QAG720910 QKC720910 QTY720910 RDU720910 RNQ720910 RXM720910 SHI720910 SRE720910 TBA720910 TKW720910 TUS720910 UEO720910 UOK720910 UYG720910 VIC720910 VRY720910 WBU720910 WLQ720910 WVM720910 I786446 JA786446 SW786446 ACS786446 AMO786446 AWK786446 BGG786446 BQC786446 BZY786446 CJU786446 CTQ786446 DDM786446 DNI786446 DXE786446 EHA786446 EQW786446 FAS786446 FKO786446 FUK786446 GEG786446 GOC786446 GXY786446 HHU786446 HRQ786446 IBM786446 ILI786446 IVE786446 JFA786446 JOW786446 JYS786446 KIO786446 KSK786446 LCG786446 LMC786446 LVY786446 MFU786446 MPQ786446 MZM786446 NJI786446 NTE786446 ODA786446 OMW786446 OWS786446 PGO786446 PQK786446 QAG786446 QKC786446 QTY786446 RDU786446 RNQ786446 RXM786446 SHI786446 SRE786446 TBA786446 TKW786446 TUS786446 UEO786446 UOK786446 UYG786446 VIC786446 VRY786446 WBU786446 WLQ786446 WVM786446 I851982 JA851982 SW851982 ACS851982 AMO851982 AWK851982 BGG851982 BQC851982 BZY851982 CJU851982 CTQ851982 DDM851982 DNI851982 DXE851982 EHA851982 EQW851982 FAS851982 FKO851982 FUK851982 GEG851982 GOC851982 GXY851982 HHU851982 HRQ851982 IBM851982 ILI851982 IVE851982 JFA851982 JOW851982 JYS851982 KIO851982 KSK851982 LCG851982 LMC851982 LVY851982 MFU851982 MPQ851982 MZM851982 NJI851982 NTE851982 ODA851982 OMW851982 OWS851982 PGO851982 PQK851982 QAG851982 QKC851982 QTY851982 RDU851982 RNQ851982 RXM851982 SHI851982 SRE851982 TBA851982 TKW851982 TUS851982 UEO851982 UOK851982 UYG851982 VIC851982 VRY851982 WBU851982 WLQ851982 WVM851982 I917518 JA917518 SW917518 ACS917518 AMO917518 AWK917518 BGG917518 BQC917518 BZY917518 CJU917518 CTQ917518 DDM917518 DNI917518 DXE917518 EHA917518 EQW917518 FAS917518 FKO917518 FUK917518 GEG917518 GOC917518 GXY917518 HHU917518 HRQ917518 IBM917518 ILI917518 IVE917518 JFA917518 JOW917518 JYS917518 KIO917518 KSK917518 LCG917518 LMC917518 LVY917518 MFU917518 MPQ917518 MZM917518 NJI917518 NTE917518 ODA917518 OMW917518 OWS917518 PGO917518 PQK917518 QAG917518 QKC917518 QTY917518 RDU917518 RNQ917518 RXM917518 SHI917518 SRE917518 TBA917518 TKW917518 TUS917518 UEO917518 UOK917518 UYG917518 VIC917518 VRY917518 WBU917518 WLQ917518 WVM917518 I983054 JA983054 SW983054 ACS983054 AMO983054 AWK983054 BGG983054 BQC983054 BZY983054 CJU983054 CTQ983054 DDM983054 DNI983054 DXE983054 EHA983054 EQW983054 FAS983054 FKO983054 FUK983054 GEG983054 GOC983054 GXY983054 HHU983054 HRQ983054 IBM983054 ILI983054 IVE983054 JFA983054 JOW983054 JYS983054 KIO983054 KSK983054 LCG983054 LMC983054 LVY983054 MFU983054 MPQ983054 MZM983054 NJI983054 NTE983054 ODA983054 OMW983054 OWS983054 PGO983054 PQK983054 QAG983054 QKC983054 QTY983054 RDU983054 RNQ983054 RXM983054 SHI983054 SRE983054 TBA983054 TKW983054 TUS983054 UEO983054 UOK983054 UYG983054 VIC983054 VRY983054 WBU983054 WLQ983054 WVM983054 WVQ8 JE8 TA8 ACW8 AMS8 AWO8 BGK8 BQG8 CAC8 CJY8 CTU8 DDQ8 DNM8 DXI8 EHE8 ERA8 FAW8 FKS8 FUO8 GEK8 GOG8 GYC8 HHY8 HRU8 IBQ8 ILM8 IVI8 JFE8 JPA8 JYW8 KIS8 KSO8 LCK8 LMG8 LWC8 MFY8 MPU8 MZQ8 NJM8 NTI8 ODE8 ONA8 OWW8 PGS8 PQO8 QAK8 QKG8 QUC8 RDY8 RNU8 RXQ8 SHM8 SRI8 TBE8 TLA8 TUW8 UES8 UOO8 UYK8 VIG8 VSC8 WBY8 WLU8" xr:uid="{00000000-0002-0000-0100-000004000000}">
      <formula1>"-,EAC"</formula1>
    </dataValidation>
    <dataValidation type="list" allowBlank="1" showInputMessage="1" showErrorMessage="1" sqref="C65550 IU65550 SQ65550 ACM65550 AMI65550 AWE65550 BGA65550 BPW65550 BZS65550 CJO65550 CTK65550 DDG65550 DNC65550 DWY65550 EGU65550 EQQ65550 FAM65550 FKI65550 FUE65550 GEA65550 GNW65550 GXS65550 HHO65550 HRK65550 IBG65550 ILC65550 IUY65550 JEU65550 JOQ65550 JYM65550 KII65550 KSE65550 LCA65550 LLW65550 LVS65550 MFO65550 MPK65550 MZG65550 NJC65550 NSY65550 OCU65550 OMQ65550 OWM65550 PGI65550 PQE65550 QAA65550 QJW65550 QTS65550 RDO65550 RNK65550 RXG65550 SHC65550 SQY65550 TAU65550 TKQ65550 TUM65550 UEI65550 UOE65550 UYA65550 VHW65550 VRS65550 WBO65550 WLK65550 WVG65550 C131086 IU131086 SQ131086 ACM131086 AMI131086 AWE131086 BGA131086 BPW131086 BZS131086 CJO131086 CTK131086 DDG131086 DNC131086 DWY131086 EGU131086 EQQ131086 FAM131086 FKI131086 FUE131086 GEA131086 GNW131086 GXS131086 HHO131086 HRK131086 IBG131086 ILC131086 IUY131086 JEU131086 JOQ131086 JYM131086 KII131086 KSE131086 LCA131086 LLW131086 LVS131086 MFO131086 MPK131086 MZG131086 NJC131086 NSY131086 OCU131086 OMQ131086 OWM131086 PGI131086 PQE131086 QAA131086 QJW131086 QTS131086 RDO131086 RNK131086 RXG131086 SHC131086 SQY131086 TAU131086 TKQ131086 TUM131086 UEI131086 UOE131086 UYA131086 VHW131086 VRS131086 WBO131086 WLK131086 WVG131086 C196622 IU196622 SQ196622 ACM196622 AMI196622 AWE196622 BGA196622 BPW196622 BZS196622 CJO196622 CTK196622 DDG196622 DNC196622 DWY196622 EGU196622 EQQ196622 FAM196622 FKI196622 FUE196622 GEA196622 GNW196622 GXS196622 HHO196622 HRK196622 IBG196622 ILC196622 IUY196622 JEU196622 JOQ196622 JYM196622 KII196622 KSE196622 LCA196622 LLW196622 LVS196622 MFO196622 MPK196622 MZG196622 NJC196622 NSY196622 OCU196622 OMQ196622 OWM196622 PGI196622 PQE196622 QAA196622 QJW196622 QTS196622 RDO196622 RNK196622 RXG196622 SHC196622 SQY196622 TAU196622 TKQ196622 TUM196622 UEI196622 UOE196622 UYA196622 VHW196622 VRS196622 WBO196622 WLK196622 WVG196622 C262158 IU262158 SQ262158 ACM262158 AMI262158 AWE262158 BGA262158 BPW262158 BZS262158 CJO262158 CTK262158 DDG262158 DNC262158 DWY262158 EGU262158 EQQ262158 FAM262158 FKI262158 FUE262158 GEA262158 GNW262158 GXS262158 HHO262158 HRK262158 IBG262158 ILC262158 IUY262158 JEU262158 JOQ262158 JYM262158 KII262158 KSE262158 LCA262158 LLW262158 LVS262158 MFO262158 MPK262158 MZG262158 NJC262158 NSY262158 OCU262158 OMQ262158 OWM262158 PGI262158 PQE262158 QAA262158 QJW262158 QTS262158 RDO262158 RNK262158 RXG262158 SHC262158 SQY262158 TAU262158 TKQ262158 TUM262158 UEI262158 UOE262158 UYA262158 VHW262158 VRS262158 WBO262158 WLK262158 WVG262158 C327694 IU327694 SQ327694 ACM327694 AMI327694 AWE327694 BGA327694 BPW327694 BZS327694 CJO327694 CTK327694 DDG327694 DNC327694 DWY327694 EGU327694 EQQ327694 FAM327694 FKI327694 FUE327694 GEA327694 GNW327694 GXS327694 HHO327694 HRK327694 IBG327694 ILC327694 IUY327694 JEU327694 JOQ327694 JYM327694 KII327694 KSE327694 LCA327694 LLW327694 LVS327694 MFO327694 MPK327694 MZG327694 NJC327694 NSY327694 OCU327694 OMQ327694 OWM327694 PGI327694 PQE327694 QAA327694 QJW327694 QTS327694 RDO327694 RNK327694 RXG327694 SHC327694 SQY327694 TAU327694 TKQ327694 TUM327694 UEI327694 UOE327694 UYA327694 VHW327694 VRS327694 WBO327694 WLK327694 WVG327694 C393230 IU393230 SQ393230 ACM393230 AMI393230 AWE393230 BGA393230 BPW393230 BZS393230 CJO393230 CTK393230 DDG393230 DNC393230 DWY393230 EGU393230 EQQ393230 FAM393230 FKI393230 FUE393230 GEA393230 GNW393230 GXS393230 HHO393230 HRK393230 IBG393230 ILC393230 IUY393230 JEU393230 JOQ393230 JYM393230 KII393230 KSE393230 LCA393230 LLW393230 LVS393230 MFO393230 MPK393230 MZG393230 NJC393230 NSY393230 OCU393230 OMQ393230 OWM393230 PGI393230 PQE393230 QAA393230 QJW393230 QTS393230 RDO393230 RNK393230 RXG393230 SHC393230 SQY393230 TAU393230 TKQ393230 TUM393230 UEI393230 UOE393230 UYA393230 VHW393230 VRS393230 WBO393230 WLK393230 WVG393230 C458766 IU458766 SQ458766 ACM458766 AMI458766 AWE458766 BGA458766 BPW458766 BZS458766 CJO458766 CTK458766 DDG458766 DNC458766 DWY458766 EGU458766 EQQ458766 FAM458766 FKI458766 FUE458766 GEA458766 GNW458766 GXS458766 HHO458766 HRK458766 IBG458766 ILC458766 IUY458766 JEU458766 JOQ458766 JYM458766 KII458766 KSE458766 LCA458766 LLW458766 LVS458766 MFO458766 MPK458766 MZG458766 NJC458766 NSY458766 OCU458766 OMQ458766 OWM458766 PGI458766 PQE458766 QAA458766 QJW458766 QTS458766 RDO458766 RNK458766 RXG458766 SHC458766 SQY458766 TAU458766 TKQ458766 TUM458766 UEI458766 UOE458766 UYA458766 VHW458766 VRS458766 WBO458766 WLK458766 WVG458766 C524302 IU524302 SQ524302 ACM524302 AMI524302 AWE524302 BGA524302 BPW524302 BZS524302 CJO524302 CTK524302 DDG524302 DNC524302 DWY524302 EGU524302 EQQ524302 FAM524302 FKI524302 FUE524302 GEA524302 GNW524302 GXS524302 HHO524302 HRK524302 IBG524302 ILC524302 IUY524302 JEU524302 JOQ524302 JYM524302 KII524302 KSE524302 LCA524302 LLW524302 LVS524302 MFO524302 MPK524302 MZG524302 NJC524302 NSY524302 OCU524302 OMQ524302 OWM524302 PGI524302 PQE524302 QAA524302 QJW524302 QTS524302 RDO524302 RNK524302 RXG524302 SHC524302 SQY524302 TAU524302 TKQ524302 TUM524302 UEI524302 UOE524302 UYA524302 VHW524302 VRS524302 WBO524302 WLK524302 WVG524302 C589838 IU589838 SQ589838 ACM589838 AMI589838 AWE589838 BGA589838 BPW589838 BZS589838 CJO589838 CTK589838 DDG589838 DNC589838 DWY589838 EGU589838 EQQ589838 FAM589838 FKI589838 FUE589838 GEA589838 GNW589838 GXS589838 HHO589838 HRK589838 IBG589838 ILC589838 IUY589838 JEU589838 JOQ589838 JYM589838 KII589838 KSE589838 LCA589838 LLW589838 LVS589838 MFO589838 MPK589838 MZG589838 NJC589838 NSY589838 OCU589838 OMQ589838 OWM589838 PGI589838 PQE589838 QAA589838 QJW589838 QTS589838 RDO589838 RNK589838 RXG589838 SHC589838 SQY589838 TAU589838 TKQ589838 TUM589838 UEI589838 UOE589838 UYA589838 VHW589838 VRS589838 WBO589838 WLK589838 WVG589838 C655374 IU655374 SQ655374 ACM655374 AMI655374 AWE655374 BGA655374 BPW655374 BZS655374 CJO655374 CTK655374 DDG655374 DNC655374 DWY655374 EGU655374 EQQ655374 FAM655374 FKI655374 FUE655374 GEA655374 GNW655374 GXS655374 HHO655374 HRK655374 IBG655374 ILC655374 IUY655374 JEU655374 JOQ655374 JYM655374 KII655374 KSE655374 LCA655374 LLW655374 LVS655374 MFO655374 MPK655374 MZG655374 NJC655374 NSY655374 OCU655374 OMQ655374 OWM655374 PGI655374 PQE655374 QAA655374 QJW655374 QTS655374 RDO655374 RNK655374 RXG655374 SHC655374 SQY655374 TAU655374 TKQ655374 TUM655374 UEI655374 UOE655374 UYA655374 VHW655374 VRS655374 WBO655374 WLK655374 WVG655374 C720910 IU720910 SQ720910 ACM720910 AMI720910 AWE720910 BGA720910 BPW720910 BZS720910 CJO720910 CTK720910 DDG720910 DNC720910 DWY720910 EGU720910 EQQ720910 FAM720910 FKI720910 FUE720910 GEA720910 GNW720910 GXS720910 HHO720910 HRK720910 IBG720910 ILC720910 IUY720910 JEU720910 JOQ720910 JYM720910 KII720910 KSE720910 LCA720910 LLW720910 LVS720910 MFO720910 MPK720910 MZG720910 NJC720910 NSY720910 OCU720910 OMQ720910 OWM720910 PGI720910 PQE720910 QAA720910 QJW720910 QTS720910 RDO720910 RNK720910 RXG720910 SHC720910 SQY720910 TAU720910 TKQ720910 TUM720910 UEI720910 UOE720910 UYA720910 VHW720910 VRS720910 WBO720910 WLK720910 WVG720910 C786446 IU786446 SQ786446 ACM786446 AMI786446 AWE786446 BGA786446 BPW786446 BZS786446 CJO786446 CTK786446 DDG786446 DNC786446 DWY786446 EGU786446 EQQ786446 FAM786446 FKI786446 FUE786446 GEA786446 GNW786446 GXS786446 HHO786446 HRK786446 IBG786446 ILC786446 IUY786446 JEU786446 JOQ786446 JYM786446 KII786446 KSE786446 LCA786446 LLW786446 LVS786446 MFO786446 MPK786446 MZG786446 NJC786446 NSY786446 OCU786446 OMQ786446 OWM786446 PGI786446 PQE786446 QAA786446 QJW786446 QTS786446 RDO786446 RNK786446 RXG786446 SHC786446 SQY786446 TAU786446 TKQ786446 TUM786446 UEI786446 UOE786446 UYA786446 VHW786446 VRS786446 WBO786446 WLK786446 WVG786446 C851982 IU851982 SQ851982 ACM851982 AMI851982 AWE851982 BGA851982 BPW851982 BZS851982 CJO851982 CTK851982 DDG851982 DNC851982 DWY851982 EGU851982 EQQ851982 FAM851982 FKI851982 FUE851982 GEA851982 GNW851982 GXS851982 HHO851982 HRK851982 IBG851982 ILC851982 IUY851982 JEU851982 JOQ851982 JYM851982 KII851982 KSE851982 LCA851982 LLW851982 LVS851982 MFO851982 MPK851982 MZG851982 NJC851982 NSY851982 OCU851982 OMQ851982 OWM851982 PGI851982 PQE851982 QAA851982 QJW851982 QTS851982 RDO851982 RNK851982 RXG851982 SHC851982 SQY851982 TAU851982 TKQ851982 TUM851982 UEI851982 UOE851982 UYA851982 VHW851982 VRS851982 WBO851982 WLK851982 WVG851982 C917518 IU917518 SQ917518 ACM917518 AMI917518 AWE917518 BGA917518 BPW917518 BZS917518 CJO917518 CTK917518 DDG917518 DNC917518 DWY917518 EGU917518 EQQ917518 FAM917518 FKI917518 FUE917518 GEA917518 GNW917518 GXS917518 HHO917518 HRK917518 IBG917518 ILC917518 IUY917518 JEU917518 JOQ917518 JYM917518 KII917518 KSE917518 LCA917518 LLW917518 LVS917518 MFO917518 MPK917518 MZG917518 NJC917518 NSY917518 OCU917518 OMQ917518 OWM917518 PGI917518 PQE917518 QAA917518 QJW917518 QTS917518 RDO917518 RNK917518 RXG917518 SHC917518 SQY917518 TAU917518 TKQ917518 TUM917518 UEI917518 UOE917518 UYA917518 VHW917518 VRS917518 WBO917518 WLK917518 WVG917518 C983054 IU983054 SQ983054 ACM983054 AMI983054 AWE983054 BGA983054 BPW983054 BZS983054 CJO983054 CTK983054 DDG983054 DNC983054 DWY983054 EGU983054 EQQ983054 FAM983054 FKI983054 FUE983054 GEA983054 GNW983054 GXS983054 HHO983054 HRK983054 IBG983054 ILC983054 IUY983054 JEU983054 JOQ983054 JYM983054 KII983054 KSE983054 LCA983054 LLW983054 LVS983054 MFO983054 MPK983054 MZG983054 NJC983054 NSY983054 OCU983054 OMQ983054 OWM983054 PGI983054 PQE983054 QAA983054 QJW983054 QTS983054 RDO983054 RNK983054 RXG983054 SHC983054 SQY983054 TAU983054 TKQ983054 TUM983054 UEI983054 UOE983054 UYA983054 VHW983054 VRS983054 WBO983054 WLK983054 WVG983054 WVK8 IY8 SU8 ACQ8 AMM8 AWI8 BGE8 BQA8 BZW8 CJS8 CTO8 DDK8 DNG8 DXC8 EGY8 EQU8 FAQ8 FKM8 FUI8 GEE8 GOA8 GXW8 HHS8 HRO8 IBK8 ILG8 IVC8 JEY8 JOU8 JYQ8 KIM8 KSI8 LCE8 LMA8 LVW8 MFS8 MPO8 MZK8 NJG8 NTC8 OCY8 OMU8 OWQ8 PGM8 PQI8 QAE8 QKA8 QTW8 RDS8 RNO8 RXK8 SHG8 SRC8 TAY8 TKU8 TUQ8 UEM8 UOI8 UYE8 VIA8 VRW8 WBS8 WLO8" xr:uid="{00000000-0002-0000-0100-000005000000}">
      <formula1>"135,200"</formula1>
    </dataValidation>
    <dataValidation type="list" allowBlank="1" showInputMessage="1" showErrorMessage="1" sqref="A65546 IS65546 SO65546 ACK65546 AMG65546 AWC65546 BFY65546 BPU65546 BZQ65546 CJM65546 CTI65546 DDE65546 DNA65546 DWW65546 EGS65546 EQO65546 FAK65546 FKG65546 FUC65546 GDY65546 GNU65546 GXQ65546 HHM65546 HRI65546 IBE65546 ILA65546 IUW65546 JES65546 JOO65546 JYK65546 KIG65546 KSC65546 LBY65546 LLU65546 LVQ65546 MFM65546 MPI65546 MZE65546 NJA65546 NSW65546 OCS65546 OMO65546 OWK65546 PGG65546 PQC65546 PZY65546 QJU65546 QTQ65546 RDM65546 RNI65546 RXE65546 SHA65546 SQW65546 TAS65546 TKO65546 TUK65546 UEG65546 UOC65546 UXY65546 VHU65546 VRQ65546 WBM65546 WLI65546 WVE65546 A131082 IS131082 SO131082 ACK131082 AMG131082 AWC131082 BFY131082 BPU131082 BZQ131082 CJM131082 CTI131082 DDE131082 DNA131082 DWW131082 EGS131082 EQO131082 FAK131082 FKG131082 FUC131082 GDY131082 GNU131082 GXQ131082 HHM131082 HRI131082 IBE131082 ILA131082 IUW131082 JES131082 JOO131082 JYK131082 KIG131082 KSC131082 LBY131082 LLU131082 LVQ131082 MFM131082 MPI131082 MZE131082 NJA131082 NSW131082 OCS131082 OMO131082 OWK131082 PGG131082 PQC131082 PZY131082 QJU131082 QTQ131082 RDM131082 RNI131082 RXE131082 SHA131082 SQW131082 TAS131082 TKO131082 TUK131082 UEG131082 UOC131082 UXY131082 VHU131082 VRQ131082 WBM131082 WLI131082 WVE131082 A196618 IS196618 SO196618 ACK196618 AMG196618 AWC196618 BFY196618 BPU196618 BZQ196618 CJM196618 CTI196618 DDE196618 DNA196618 DWW196618 EGS196618 EQO196618 FAK196618 FKG196618 FUC196618 GDY196618 GNU196618 GXQ196618 HHM196618 HRI196618 IBE196618 ILA196618 IUW196618 JES196618 JOO196618 JYK196618 KIG196618 KSC196618 LBY196618 LLU196618 LVQ196618 MFM196618 MPI196618 MZE196618 NJA196618 NSW196618 OCS196618 OMO196618 OWK196618 PGG196618 PQC196618 PZY196618 QJU196618 QTQ196618 RDM196618 RNI196618 RXE196618 SHA196618 SQW196618 TAS196618 TKO196618 TUK196618 UEG196618 UOC196618 UXY196618 VHU196618 VRQ196618 WBM196618 WLI196618 WVE196618 A262154 IS262154 SO262154 ACK262154 AMG262154 AWC262154 BFY262154 BPU262154 BZQ262154 CJM262154 CTI262154 DDE262154 DNA262154 DWW262154 EGS262154 EQO262154 FAK262154 FKG262154 FUC262154 GDY262154 GNU262154 GXQ262154 HHM262154 HRI262154 IBE262154 ILA262154 IUW262154 JES262154 JOO262154 JYK262154 KIG262154 KSC262154 LBY262154 LLU262154 LVQ262154 MFM262154 MPI262154 MZE262154 NJA262154 NSW262154 OCS262154 OMO262154 OWK262154 PGG262154 PQC262154 PZY262154 QJU262154 QTQ262154 RDM262154 RNI262154 RXE262154 SHA262154 SQW262154 TAS262154 TKO262154 TUK262154 UEG262154 UOC262154 UXY262154 VHU262154 VRQ262154 WBM262154 WLI262154 WVE262154 A327690 IS327690 SO327690 ACK327690 AMG327690 AWC327690 BFY327690 BPU327690 BZQ327690 CJM327690 CTI327690 DDE327690 DNA327690 DWW327690 EGS327690 EQO327690 FAK327690 FKG327690 FUC327690 GDY327690 GNU327690 GXQ327690 HHM327690 HRI327690 IBE327690 ILA327690 IUW327690 JES327690 JOO327690 JYK327690 KIG327690 KSC327690 LBY327690 LLU327690 LVQ327690 MFM327690 MPI327690 MZE327690 NJA327690 NSW327690 OCS327690 OMO327690 OWK327690 PGG327690 PQC327690 PZY327690 QJU327690 QTQ327690 RDM327690 RNI327690 RXE327690 SHA327690 SQW327690 TAS327690 TKO327690 TUK327690 UEG327690 UOC327690 UXY327690 VHU327690 VRQ327690 WBM327690 WLI327690 WVE327690 A393226 IS393226 SO393226 ACK393226 AMG393226 AWC393226 BFY393226 BPU393226 BZQ393226 CJM393226 CTI393226 DDE393226 DNA393226 DWW393226 EGS393226 EQO393226 FAK393226 FKG393226 FUC393226 GDY393226 GNU393226 GXQ393226 HHM393226 HRI393226 IBE393226 ILA393226 IUW393226 JES393226 JOO393226 JYK393226 KIG393226 KSC393226 LBY393226 LLU393226 LVQ393226 MFM393226 MPI393226 MZE393226 NJA393226 NSW393226 OCS393226 OMO393226 OWK393226 PGG393226 PQC393226 PZY393226 QJU393226 QTQ393226 RDM393226 RNI393226 RXE393226 SHA393226 SQW393226 TAS393226 TKO393226 TUK393226 UEG393226 UOC393226 UXY393226 VHU393226 VRQ393226 WBM393226 WLI393226 WVE393226 A458762 IS458762 SO458762 ACK458762 AMG458762 AWC458762 BFY458762 BPU458762 BZQ458762 CJM458762 CTI458762 DDE458762 DNA458762 DWW458762 EGS458762 EQO458762 FAK458762 FKG458762 FUC458762 GDY458762 GNU458762 GXQ458762 HHM458762 HRI458762 IBE458762 ILA458762 IUW458762 JES458762 JOO458762 JYK458762 KIG458762 KSC458762 LBY458762 LLU458762 LVQ458762 MFM458762 MPI458762 MZE458762 NJA458762 NSW458762 OCS458762 OMO458762 OWK458762 PGG458762 PQC458762 PZY458762 QJU458762 QTQ458762 RDM458762 RNI458762 RXE458762 SHA458762 SQW458762 TAS458762 TKO458762 TUK458762 UEG458762 UOC458762 UXY458762 VHU458762 VRQ458762 WBM458762 WLI458762 WVE458762 A524298 IS524298 SO524298 ACK524298 AMG524298 AWC524298 BFY524298 BPU524298 BZQ524298 CJM524298 CTI524298 DDE524298 DNA524298 DWW524298 EGS524298 EQO524298 FAK524298 FKG524298 FUC524298 GDY524298 GNU524298 GXQ524298 HHM524298 HRI524298 IBE524298 ILA524298 IUW524298 JES524298 JOO524298 JYK524298 KIG524298 KSC524298 LBY524298 LLU524298 LVQ524298 MFM524298 MPI524298 MZE524298 NJA524298 NSW524298 OCS524298 OMO524298 OWK524298 PGG524298 PQC524298 PZY524298 QJU524298 QTQ524298 RDM524298 RNI524298 RXE524298 SHA524298 SQW524298 TAS524298 TKO524298 TUK524298 UEG524298 UOC524298 UXY524298 VHU524298 VRQ524298 WBM524298 WLI524298 WVE524298 A589834 IS589834 SO589834 ACK589834 AMG589834 AWC589834 BFY589834 BPU589834 BZQ589834 CJM589834 CTI589834 DDE589834 DNA589834 DWW589834 EGS589834 EQO589834 FAK589834 FKG589834 FUC589834 GDY589834 GNU589834 GXQ589834 HHM589834 HRI589834 IBE589834 ILA589834 IUW589834 JES589834 JOO589834 JYK589834 KIG589834 KSC589834 LBY589834 LLU589834 LVQ589834 MFM589834 MPI589834 MZE589834 NJA589834 NSW589834 OCS589834 OMO589834 OWK589834 PGG589834 PQC589834 PZY589834 QJU589834 QTQ589834 RDM589834 RNI589834 RXE589834 SHA589834 SQW589834 TAS589834 TKO589834 TUK589834 UEG589834 UOC589834 UXY589834 VHU589834 VRQ589834 WBM589834 WLI589834 WVE589834 A655370 IS655370 SO655370 ACK655370 AMG655370 AWC655370 BFY655370 BPU655370 BZQ655370 CJM655370 CTI655370 DDE655370 DNA655370 DWW655370 EGS655370 EQO655370 FAK655370 FKG655370 FUC655370 GDY655370 GNU655370 GXQ655370 HHM655370 HRI655370 IBE655370 ILA655370 IUW655370 JES655370 JOO655370 JYK655370 KIG655370 KSC655370 LBY655370 LLU655370 LVQ655370 MFM655370 MPI655370 MZE655370 NJA655370 NSW655370 OCS655370 OMO655370 OWK655370 PGG655370 PQC655370 PZY655370 QJU655370 QTQ655370 RDM655370 RNI655370 RXE655370 SHA655370 SQW655370 TAS655370 TKO655370 TUK655370 UEG655370 UOC655370 UXY655370 VHU655370 VRQ655370 WBM655370 WLI655370 WVE655370 A720906 IS720906 SO720906 ACK720906 AMG720906 AWC720906 BFY720906 BPU720906 BZQ720906 CJM720906 CTI720906 DDE720906 DNA720906 DWW720906 EGS720906 EQO720906 FAK720906 FKG720906 FUC720906 GDY720906 GNU720906 GXQ720906 HHM720906 HRI720906 IBE720906 ILA720906 IUW720906 JES720906 JOO720906 JYK720906 KIG720906 KSC720906 LBY720906 LLU720906 LVQ720906 MFM720906 MPI720906 MZE720906 NJA720906 NSW720906 OCS720906 OMO720906 OWK720906 PGG720906 PQC720906 PZY720906 QJU720906 QTQ720906 RDM720906 RNI720906 RXE720906 SHA720906 SQW720906 TAS720906 TKO720906 TUK720906 UEG720906 UOC720906 UXY720906 VHU720906 VRQ720906 WBM720906 WLI720906 WVE720906 A786442 IS786442 SO786442 ACK786442 AMG786442 AWC786442 BFY786442 BPU786442 BZQ786442 CJM786442 CTI786442 DDE786442 DNA786442 DWW786442 EGS786442 EQO786442 FAK786442 FKG786442 FUC786442 GDY786442 GNU786442 GXQ786442 HHM786442 HRI786442 IBE786442 ILA786442 IUW786442 JES786442 JOO786442 JYK786442 KIG786442 KSC786442 LBY786442 LLU786442 LVQ786442 MFM786442 MPI786442 MZE786442 NJA786442 NSW786442 OCS786442 OMO786442 OWK786442 PGG786442 PQC786442 PZY786442 QJU786442 QTQ786442 RDM786442 RNI786442 RXE786442 SHA786442 SQW786442 TAS786442 TKO786442 TUK786442 UEG786442 UOC786442 UXY786442 VHU786442 VRQ786442 WBM786442 WLI786442 WVE786442 A851978 IS851978 SO851978 ACK851978 AMG851978 AWC851978 BFY851978 BPU851978 BZQ851978 CJM851978 CTI851978 DDE851978 DNA851978 DWW851978 EGS851978 EQO851978 FAK851978 FKG851978 FUC851978 GDY851978 GNU851978 GXQ851978 HHM851978 HRI851978 IBE851978 ILA851978 IUW851978 JES851978 JOO851978 JYK851978 KIG851978 KSC851978 LBY851978 LLU851978 LVQ851978 MFM851978 MPI851978 MZE851978 NJA851978 NSW851978 OCS851978 OMO851978 OWK851978 PGG851978 PQC851978 PZY851978 QJU851978 QTQ851978 RDM851978 RNI851978 RXE851978 SHA851978 SQW851978 TAS851978 TKO851978 TUK851978 UEG851978 UOC851978 UXY851978 VHU851978 VRQ851978 WBM851978 WLI851978 WVE851978 A917514 IS917514 SO917514 ACK917514 AMG917514 AWC917514 BFY917514 BPU917514 BZQ917514 CJM917514 CTI917514 DDE917514 DNA917514 DWW917514 EGS917514 EQO917514 FAK917514 FKG917514 FUC917514 GDY917514 GNU917514 GXQ917514 HHM917514 HRI917514 IBE917514 ILA917514 IUW917514 JES917514 JOO917514 JYK917514 KIG917514 KSC917514 LBY917514 LLU917514 LVQ917514 MFM917514 MPI917514 MZE917514 NJA917514 NSW917514 OCS917514 OMO917514 OWK917514 PGG917514 PQC917514 PZY917514 QJU917514 QTQ917514 RDM917514 RNI917514 RXE917514 SHA917514 SQW917514 TAS917514 TKO917514 TUK917514 UEG917514 UOC917514 UXY917514 VHU917514 VRQ917514 WBM917514 WLI917514 WVE917514 A983050 IS983050 SO983050 ACK983050 AMG983050 AWC983050 BFY983050 BPU983050 BZQ983050 CJM983050 CTI983050 DDE983050 DNA983050 DWW983050 EGS983050 EQO983050 FAK983050 FKG983050 FUC983050 GDY983050 GNU983050 GXQ983050 HHM983050 HRI983050 IBE983050 ILA983050 IUW983050 JES983050 JOO983050 JYK983050 KIG983050 KSC983050 LBY983050 LLU983050 LVQ983050 MFM983050 MPI983050 MZE983050 NJA983050 NSW983050 OCS983050 OMO983050 OWK983050 PGG983050 PQC983050 PZY983050 QJU983050 QTQ983050 RDM983050 RNI983050 RXE983050 SHA983050 SQW983050 TAS983050 TKO983050 TUK983050 UEG983050 UOC983050 UXY983050 VHU983050 VRQ983050 WBM983050 WLI983050 WVE983050" xr:uid="{00000000-0002-0000-0100-000006000000}">
      <formula1>elenco_comm</formula1>
    </dataValidation>
    <dataValidation type="list" allowBlank="1" showInputMessage="1" showErrorMessage="1" sqref="A35:A37" xr:uid="{00000000-0002-0000-0100-000007000000}">
      <formula1>"X,NO"</formula1>
    </dataValidation>
  </dataValidations>
  <printOptions horizontalCentered="1"/>
  <pageMargins left="0.39370078740157483" right="0.39370078740157483" top="0.19685039370078741" bottom="0.31496062992125984" header="0.31496062992125984" footer="0.19685039370078741"/>
  <pageSetup paperSize="9" scale="88" orientation="portrait" r:id="rId1"/>
  <headerFooter>
    <oddFooter>&amp;L&amp;"Arial Narrow,Normale"&amp;F - &amp;A - &amp;D</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D528"/>
  <sheetViews>
    <sheetView topLeftCell="A22" zoomScaleNormal="100" zoomScaleSheetLayoutView="90" workbookViewId="0">
      <selection activeCell="O60" sqref="O60"/>
    </sheetView>
  </sheetViews>
  <sheetFormatPr defaultColWidth="9.33203125" defaultRowHeight="15" customHeight="1" x14ac:dyDescent="0.15"/>
  <cols>
    <col min="1" max="12" width="18.83203125" style="2" customWidth="1"/>
    <col min="13" max="13" width="21.1640625" style="2" bestFit="1" customWidth="1"/>
    <col min="14" max="23" width="18.83203125" style="2" customWidth="1"/>
    <col min="24" max="25" width="25.83203125" style="2" customWidth="1"/>
    <col min="26" max="26" width="21.1640625" style="2" bestFit="1" customWidth="1"/>
    <col min="27" max="27" width="18.83203125" style="2" customWidth="1"/>
    <col min="28" max="28" width="25.83203125" style="2" customWidth="1"/>
    <col min="29" max="68" width="18.83203125" style="2" customWidth="1"/>
    <col min="69" max="16384" width="9.33203125" style="2"/>
  </cols>
  <sheetData>
    <row r="1" spans="1:45" ht="15" customHeight="1" x14ac:dyDescent="0.15">
      <c r="A1" s="54" t="s">
        <v>766</v>
      </c>
      <c r="B1" s="6"/>
      <c r="C1" s="6"/>
      <c r="D1" s="6"/>
      <c r="E1" s="6"/>
      <c r="AN1" s="5" t="s">
        <v>726</v>
      </c>
      <c r="AO1" s="54" t="s">
        <v>766</v>
      </c>
      <c r="AP1" s="6"/>
      <c r="AQ1" s="6"/>
      <c r="AR1" s="6"/>
      <c r="AS1" s="6"/>
    </row>
    <row r="2" spans="1:45" ht="15" customHeight="1" x14ac:dyDescent="0.15">
      <c r="A2" s="4"/>
    </row>
    <row r="3" spans="1:45" ht="15" customHeight="1" x14ac:dyDescent="0.15">
      <c r="F3" s="44" t="s">
        <v>1568</v>
      </c>
    </row>
    <row r="4" spans="1:45" ht="15" customHeight="1" x14ac:dyDescent="0.15">
      <c r="B4" s="1" t="s">
        <v>7</v>
      </c>
      <c r="C4" s="1" t="s">
        <v>935</v>
      </c>
      <c r="F4" s="1" t="s">
        <v>7</v>
      </c>
      <c r="G4" s="1" t="s">
        <v>1567</v>
      </c>
    </row>
    <row r="5" spans="1:45" ht="15" customHeight="1" x14ac:dyDescent="0.15">
      <c r="B5" s="57">
        <v>24</v>
      </c>
      <c r="C5" s="13">
        <v>850</v>
      </c>
      <c r="F5" s="57" t="s">
        <v>814</v>
      </c>
      <c r="G5" s="1">
        <v>2</v>
      </c>
    </row>
    <row r="6" spans="1:45" ht="15" customHeight="1" x14ac:dyDescent="0.15">
      <c r="B6" s="57">
        <v>30</v>
      </c>
      <c r="C6" s="13">
        <v>850</v>
      </c>
      <c r="F6" s="57" t="s">
        <v>815</v>
      </c>
      <c r="G6" s="1">
        <v>3</v>
      </c>
    </row>
    <row r="7" spans="1:45" ht="15" customHeight="1" x14ac:dyDescent="0.15">
      <c r="B7" s="57">
        <v>40</v>
      </c>
      <c r="C7" s="13">
        <v>850</v>
      </c>
      <c r="F7" s="52" t="s">
        <v>816</v>
      </c>
      <c r="G7" s="1">
        <v>4</v>
      </c>
    </row>
    <row r="8" spans="1:45" ht="15" customHeight="1" x14ac:dyDescent="0.15">
      <c r="B8" s="57">
        <v>50</v>
      </c>
      <c r="C8" s="59">
        <v>1100</v>
      </c>
      <c r="F8" s="57" t="s">
        <v>817</v>
      </c>
      <c r="G8" s="1">
        <v>5</v>
      </c>
    </row>
    <row r="9" spans="1:45" ht="15" customHeight="1" x14ac:dyDescent="0.15">
      <c r="B9" s="57">
        <v>50</v>
      </c>
      <c r="C9" s="51">
        <v>1250</v>
      </c>
      <c r="F9" s="52" t="s">
        <v>818</v>
      </c>
      <c r="G9" s="1">
        <v>6</v>
      </c>
    </row>
    <row r="10" spans="1:45" ht="15" customHeight="1" x14ac:dyDescent="0.15">
      <c r="B10" s="57">
        <v>60</v>
      </c>
      <c r="C10" s="59">
        <v>1100</v>
      </c>
      <c r="F10" s="57" t="s">
        <v>811</v>
      </c>
      <c r="G10" s="1">
        <v>7</v>
      </c>
    </row>
    <row r="11" spans="1:45" ht="15" customHeight="1" x14ac:dyDescent="0.15">
      <c r="B11" s="57">
        <v>60</v>
      </c>
      <c r="C11" s="51">
        <v>1250</v>
      </c>
      <c r="F11" s="57" t="s">
        <v>812</v>
      </c>
      <c r="G11" s="1">
        <v>8</v>
      </c>
    </row>
    <row r="12" spans="1:45" ht="15" customHeight="1" x14ac:dyDescent="0.15">
      <c r="B12" s="57">
        <v>80</v>
      </c>
      <c r="C12" s="13">
        <v>1250</v>
      </c>
      <c r="F12" s="52" t="s">
        <v>813</v>
      </c>
      <c r="G12" s="1">
        <v>9</v>
      </c>
    </row>
    <row r="13" spans="1:45" ht="15" customHeight="1" x14ac:dyDescent="0.15">
      <c r="F13" s="17" t="s">
        <v>40</v>
      </c>
      <c r="G13" s="17" t="s">
        <v>40</v>
      </c>
      <c r="Y13" s="2">
        <f>(G20-sp_guida-hm_cat/2)</f>
        <v>1835.5</v>
      </c>
      <c r="AD13" s="2">
        <f>(G20-sp_guida-hm_cat)</f>
        <v>1823</v>
      </c>
    </row>
    <row r="16" spans="1:45" ht="15" customHeight="1" x14ac:dyDescent="0.15">
      <c r="A16" s="44"/>
    </row>
    <row r="17" spans="1:82" ht="15" customHeight="1" x14ac:dyDescent="0.15">
      <c r="A17" s="44"/>
      <c r="B17" s="2" t="s">
        <v>79</v>
      </c>
      <c r="C17" s="38" t="s">
        <v>271</v>
      </c>
      <c r="D17" s="5" t="s">
        <v>272</v>
      </c>
      <c r="H17" s="2">
        <v>20180118</v>
      </c>
      <c r="P17" s="1"/>
      <c r="Q17" s="1"/>
      <c r="R17" s="1"/>
      <c r="S17" s="1"/>
      <c r="T17" s="1"/>
      <c r="U17" s="1"/>
      <c r="V17" s="1"/>
      <c r="W17" s="1"/>
      <c r="AW17" s="2" t="s">
        <v>92</v>
      </c>
      <c r="BB17" s="2" t="s">
        <v>144</v>
      </c>
      <c r="BK17" s="2" t="s">
        <v>178</v>
      </c>
      <c r="BL17" s="2" t="s">
        <v>165</v>
      </c>
      <c r="BN17" s="2" t="s">
        <v>516</v>
      </c>
      <c r="BQ17" s="12"/>
      <c r="BR17" s="12"/>
      <c r="BS17" s="12"/>
      <c r="BT17" s="12"/>
      <c r="BU17" s="12"/>
      <c r="BV17" s="12"/>
      <c r="BW17" s="12"/>
      <c r="BX17" s="12"/>
      <c r="BY17" s="12"/>
      <c r="BZ17" s="12"/>
      <c r="CA17" s="12"/>
      <c r="CB17" s="12"/>
      <c r="CC17" s="12"/>
      <c r="CD17" s="12"/>
    </row>
    <row r="18" spans="1:82" ht="15" customHeight="1" x14ac:dyDescent="0.15">
      <c r="A18" s="44"/>
      <c r="C18" s="12">
        <v>2</v>
      </c>
      <c r="D18" s="12">
        <v>3</v>
      </c>
      <c r="E18" s="12">
        <v>4</v>
      </c>
      <c r="F18" s="12">
        <v>5</v>
      </c>
      <c r="G18" s="12">
        <v>6</v>
      </c>
      <c r="H18" s="12">
        <v>7</v>
      </c>
      <c r="I18" s="12">
        <v>8</v>
      </c>
      <c r="J18" s="12">
        <v>9</v>
      </c>
      <c r="K18" s="12">
        <v>10</v>
      </c>
      <c r="L18" s="12">
        <v>11</v>
      </c>
      <c r="M18" s="12">
        <v>12</v>
      </c>
      <c r="N18" s="12">
        <v>13</v>
      </c>
      <c r="O18" s="12">
        <v>14</v>
      </c>
      <c r="P18" s="12">
        <v>15</v>
      </c>
      <c r="Q18" s="12">
        <v>16</v>
      </c>
      <c r="R18" s="12">
        <v>17</v>
      </c>
      <c r="S18" s="12">
        <v>18</v>
      </c>
      <c r="T18" s="12">
        <v>19</v>
      </c>
      <c r="U18" s="12">
        <v>20</v>
      </c>
      <c r="V18" s="12">
        <v>21</v>
      </c>
      <c r="W18" s="12">
        <v>22</v>
      </c>
      <c r="X18" s="12">
        <v>23</v>
      </c>
      <c r="Y18" s="12">
        <v>24</v>
      </c>
      <c r="Z18" s="12">
        <v>25</v>
      </c>
      <c r="AA18" s="12">
        <v>26</v>
      </c>
      <c r="AB18" s="12">
        <v>27</v>
      </c>
      <c r="AC18" s="12">
        <v>28</v>
      </c>
      <c r="AD18" s="12">
        <v>29</v>
      </c>
      <c r="AE18" s="12">
        <v>30</v>
      </c>
      <c r="AF18" s="12">
        <v>31</v>
      </c>
      <c r="AG18" s="12">
        <v>32</v>
      </c>
      <c r="AH18" s="12">
        <v>33</v>
      </c>
      <c r="AI18" s="12">
        <v>34</v>
      </c>
      <c r="AJ18" s="12">
        <v>35</v>
      </c>
      <c r="AK18" s="12">
        <v>36</v>
      </c>
      <c r="AL18" s="12">
        <v>37</v>
      </c>
      <c r="AM18" s="12">
        <v>38</v>
      </c>
      <c r="BB18" s="12">
        <v>1</v>
      </c>
      <c r="BC18" s="12">
        <v>2</v>
      </c>
      <c r="BD18" s="12">
        <v>3</v>
      </c>
      <c r="BE18" s="12">
        <v>4</v>
      </c>
      <c r="BF18" s="12">
        <v>5</v>
      </c>
      <c r="BG18" s="12">
        <v>6</v>
      </c>
      <c r="BH18" s="12">
        <v>7</v>
      </c>
      <c r="BI18" s="12">
        <v>8</v>
      </c>
      <c r="BK18" s="44" t="s">
        <v>734</v>
      </c>
      <c r="BL18" s="44" t="s">
        <v>735</v>
      </c>
      <c r="BN18" s="44" t="s">
        <v>736</v>
      </c>
    </row>
    <row r="19" spans="1:82" ht="15" customHeight="1" x14ac:dyDescent="0.15">
      <c r="B19" s="1" t="s">
        <v>7</v>
      </c>
      <c r="C19" s="1" t="s">
        <v>269</v>
      </c>
      <c r="D19" s="1" t="s">
        <v>266</v>
      </c>
      <c r="E19" s="38" t="s">
        <v>267</v>
      </c>
      <c r="F19" s="5" t="s">
        <v>268</v>
      </c>
      <c r="G19" s="38" t="s">
        <v>1168</v>
      </c>
      <c r="H19" s="38" t="s">
        <v>1160</v>
      </c>
      <c r="I19" s="38" t="s">
        <v>1161</v>
      </c>
      <c r="J19" s="38" t="s">
        <v>1162</v>
      </c>
      <c r="K19" s="5" t="s">
        <v>1168</v>
      </c>
      <c r="L19" s="5" t="s">
        <v>1161</v>
      </c>
      <c r="M19" s="1" t="s">
        <v>1566</v>
      </c>
      <c r="N19" s="57" t="s">
        <v>757</v>
      </c>
      <c r="O19" s="57" t="s">
        <v>757</v>
      </c>
      <c r="P19" s="1" t="s">
        <v>1158</v>
      </c>
      <c r="Q19" s="1" t="s">
        <v>1294</v>
      </c>
      <c r="R19" s="1" t="s">
        <v>1646</v>
      </c>
      <c r="S19" s="1" t="s">
        <v>1647</v>
      </c>
      <c r="T19" s="1" t="s">
        <v>1648</v>
      </c>
      <c r="U19" s="1" t="s">
        <v>1649</v>
      </c>
      <c r="V19" s="1" t="s">
        <v>1650</v>
      </c>
      <c r="W19" s="1" t="s">
        <v>1651</v>
      </c>
      <c r="X19" s="1" t="s">
        <v>1659</v>
      </c>
      <c r="Y19" s="1"/>
      <c r="Z19" s="1"/>
      <c r="AA19" s="1"/>
      <c r="AB19" s="1"/>
      <c r="AC19" s="1" t="s">
        <v>512</v>
      </c>
      <c r="AD19" s="38" t="s">
        <v>513</v>
      </c>
      <c r="AE19" s="5" t="s">
        <v>514</v>
      </c>
      <c r="AF19" s="1" t="s">
        <v>759</v>
      </c>
      <c r="AG19" s="1" t="s">
        <v>760</v>
      </c>
      <c r="AH19" s="1" t="s">
        <v>761</v>
      </c>
      <c r="AI19" s="1" t="s">
        <v>762</v>
      </c>
      <c r="AJ19" s="1" t="s">
        <v>1670</v>
      </c>
      <c r="AK19" s="1"/>
      <c r="AL19" s="1"/>
      <c r="AM19" s="1" t="s">
        <v>712</v>
      </c>
      <c r="AW19" s="1" t="s">
        <v>46</v>
      </c>
      <c r="AX19" s="1" t="s">
        <v>930</v>
      </c>
      <c r="AY19" s="1" t="s">
        <v>778</v>
      </c>
      <c r="AZ19" s="1"/>
      <c r="BB19" s="1" t="s">
        <v>145</v>
      </c>
      <c r="BC19" s="1" t="s">
        <v>238</v>
      </c>
      <c r="BD19" s="1" t="s">
        <v>1230</v>
      </c>
      <c r="BE19" s="1" t="s">
        <v>1231</v>
      </c>
      <c r="BF19" s="1" t="s">
        <v>251</v>
      </c>
      <c r="BG19" s="1" t="s">
        <v>1232</v>
      </c>
      <c r="BH19" s="1" t="s">
        <v>525</v>
      </c>
      <c r="BI19" s="1" t="s">
        <v>1691</v>
      </c>
    </row>
    <row r="20" spans="1:82" ht="15" customHeight="1" x14ac:dyDescent="0.15">
      <c r="A20" s="44" t="s">
        <v>638</v>
      </c>
      <c r="B20" s="57" t="s">
        <v>814</v>
      </c>
      <c r="C20" s="68" t="s">
        <v>1743</v>
      </c>
      <c r="D20" s="1">
        <v>393</v>
      </c>
      <c r="E20" s="1">
        <v>2000</v>
      </c>
      <c r="F20" s="1">
        <v>1500</v>
      </c>
      <c r="G20" s="1">
        <v>1860</v>
      </c>
      <c r="H20" s="1">
        <v>1762</v>
      </c>
      <c r="I20" s="1">
        <v>1390</v>
      </c>
      <c r="J20" s="1">
        <v>1286</v>
      </c>
      <c r="K20" s="1">
        <v>1640</v>
      </c>
      <c r="L20" s="1">
        <v>2110</v>
      </c>
      <c r="M20" s="1">
        <v>2</v>
      </c>
      <c r="N20" s="57"/>
      <c r="O20" s="57"/>
      <c r="P20" s="1">
        <v>902</v>
      </c>
      <c r="Q20" s="1" t="s">
        <v>1295</v>
      </c>
      <c r="R20" s="1" t="s">
        <v>1626</v>
      </c>
      <c r="S20" s="1" t="s">
        <v>1625</v>
      </c>
      <c r="T20" s="1" t="s">
        <v>1627</v>
      </c>
      <c r="U20" s="1" t="s">
        <v>1628</v>
      </c>
      <c r="V20" s="1" t="s">
        <v>1629</v>
      </c>
      <c r="W20" s="1" t="s">
        <v>1630</v>
      </c>
      <c r="X20" s="1">
        <v>2</v>
      </c>
      <c r="Y20" s="1"/>
      <c r="Z20" s="1"/>
      <c r="AA20" s="1"/>
      <c r="AB20" s="1"/>
      <c r="AC20" s="1">
        <v>2</v>
      </c>
      <c r="AD20" s="1">
        <f t="shared" ref="AD20:AD27" si="0">((G20-sp_guida-hm_cat)+(I20-sp_guida-hm_cat))/2</f>
        <v>1588</v>
      </c>
      <c r="AE20" s="1">
        <f t="shared" ref="AE20:AE27" si="1">((K20+sp_guida+hm_cat)+(L20+sp_guida+hm_cat))/2</f>
        <v>1912</v>
      </c>
      <c r="AF20" s="1" t="s">
        <v>637</v>
      </c>
      <c r="AG20" s="1" t="s">
        <v>758</v>
      </c>
      <c r="AH20" s="1" t="s">
        <v>764</v>
      </c>
      <c r="AI20" s="1" t="s">
        <v>763</v>
      </c>
      <c r="AJ20" s="1" t="s">
        <v>1671</v>
      </c>
      <c r="AK20" s="1"/>
      <c r="AL20" s="1"/>
      <c r="AM20" s="1">
        <v>710</v>
      </c>
      <c r="AN20" s="16" t="s">
        <v>40</v>
      </c>
      <c r="AV20" s="44" t="s">
        <v>730</v>
      </c>
      <c r="AW20" s="2" t="str">
        <f>VLOOKUP("B01",trad_termini,ID_lingua,FALSE)</f>
        <v>DRY CHIPS</v>
      </c>
      <c r="AX20" s="1" t="s">
        <v>828</v>
      </c>
      <c r="AY20" s="1"/>
      <c r="AZ20" s="1"/>
      <c r="BA20" s="44" t="s">
        <v>733</v>
      </c>
      <c r="BB20" s="1" t="s">
        <v>146</v>
      </c>
      <c r="BC20" s="68" t="s">
        <v>40</v>
      </c>
      <c r="BD20" s="1" t="s">
        <v>147</v>
      </c>
      <c r="BE20" s="1" t="s">
        <v>221</v>
      </c>
      <c r="BF20" s="1" t="s">
        <v>57</v>
      </c>
      <c r="BG20" s="1" t="s">
        <v>40</v>
      </c>
      <c r="BH20" s="1" t="s">
        <v>40</v>
      </c>
      <c r="BI20" s="1" t="s">
        <v>40</v>
      </c>
      <c r="BK20" s="2" t="s">
        <v>166</v>
      </c>
      <c r="BL20" s="2" t="s">
        <v>167</v>
      </c>
      <c r="BN20" s="1">
        <v>0.12</v>
      </c>
    </row>
    <row r="21" spans="1:82" ht="15" customHeight="1" x14ac:dyDescent="0.15">
      <c r="A21" s="58" t="s">
        <v>810</v>
      </c>
      <c r="B21" s="57" t="s">
        <v>815</v>
      </c>
      <c r="C21" s="68" t="s">
        <v>1743</v>
      </c>
      <c r="D21" s="1">
        <v>393</v>
      </c>
      <c r="E21" s="1">
        <v>2000</v>
      </c>
      <c r="F21" s="1">
        <v>1500</v>
      </c>
      <c r="G21" s="1">
        <v>1860</v>
      </c>
      <c r="H21" s="1">
        <v>1762</v>
      </c>
      <c r="I21" s="1">
        <v>1390</v>
      </c>
      <c r="J21" s="1">
        <v>1286</v>
      </c>
      <c r="K21" s="1">
        <v>1640</v>
      </c>
      <c r="L21" s="1">
        <v>2110</v>
      </c>
      <c r="M21" s="1">
        <v>3</v>
      </c>
      <c r="N21" s="57"/>
      <c r="O21" s="57"/>
      <c r="P21" s="1">
        <v>1032</v>
      </c>
      <c r="Q21" s="1" t="s">
        <v>1295</v>
      </c>
      <c r="R21" s="1" t="s">
        <v>1626</v>
      </c>
      <c r="S21" s="1" t="s">
        <v>1625</v>
      </c>
      <c r="T21" s="1" t="s">
        <v>1627</v>
      </c>
      <c r="U21" s="1" t="s">
        <v>1628</v>
      </c>
      <c r="V21" s="1" t="s">
        <v>1629</v>
      </c>
      <c r="W21" s="1" t="s">
        <v>1630</v>
      </c>
      <c r="X21" s="1">
        <v>3</v>
      </c>
      <c r="Y21" s="1"/>
      <c r="Z21" s="1"/>
      <c r="AA21" s="1"/>
      <c r="AB21" s="1"/>
      <c r="AC21" s="1">
        <v>3</v>
      </c>
      <c r="AD21" s="1">
        <f t="shared" si="0"/>
        <v>1588</v>
      </c>
      <c r="AE21" s="1">
        <f t="shared" si="1"/>
        <v>1912</v>
      </c>
      <c r="AF21" s="1" t="s">
        <v>637</v>
      </c>
      <c r="AG21" s="1" t="s">
        <v>758</v>
      </c>
      <c r="AH21" s="1" t="s">
        <v>764</v>
      </c>
      <c r="AI21" s="1" t="s">
        <v>763</v>
      </c>
      <c r="AJ21" s="1" t="s">
        <v>1671</v>
      </c>
      <c r="AK21" s="1"/>
      <c r="AL21" s="1"/>
      <c r="AM21" s="1">
        <v>710</v>
      </c>
      <c r="AN21" s="16" t="s">
        <v>40</v>
      </c>
      <c r="AV21" s="44" t="s">
        <v>731</v>
      </c>
      <c r="AW21" s="2" t="str">
        <f>VLOOKUP("B02",trad_termini,ID_lingua,FALSE)</f>
        <v>WET CHIPS</v>
      </c>
      <c r="AX21" s="1" t="s">
        <v>828</v>
      </c>
      <c r="AY21" s="1"/>
      <c r="AZ21" s="1"/>
      <c r="BA21" s="44" t="s">
        <v>732</v>
      </c>
      <c r="BB21" s="1" t="s">
        <v>148</v>
      </c>
      <c r="BC21" s="68" t="s">
        <v>40</v>
      </c>
      <c r="BD21" s="1" t="s">
        <v>149</v>
      </c>
      <c r="BE21" s="1" t="s">
        <v>222</v>
      </c>
      <c r="BF21" s="1" t="s">
        <v>58</v>
      </c>
      <c r="BG21" s="1" t="s">
        <v>40</v>
      </c>
      <c r="BH21" s="1" t="s">
        <v>40</v>
      </c>
      <c r="BI21" s="1" t="s">
        <v>40</v>
      </c>
      <c r="BK21" s="2" t="s">
        <v>168</v>
      </c>
      <c r="BL21" s="2" t="s">
        <v>169</v>
      </c>
      <c r="BN21" s="1">
        <v>0.18</v>
      </c>
    </row>
    <row r="22" spans="1:82" ht="15" customHeight="1" x14ac:dyDescent="0.15">
      <c r="A22" s="44"/>
      <c r="B22" s="52" t="s">
        <v>816</v>
      </c>
      <c r="C22" s="69" t="s">
        <v>1743</v>
      </c>
      <c r="D22" s="7">
        <v>393</v>
      </c>
      <c r="E22" s="7">
        <v>2000</v>
      </c>
      <c r="F22" s="7">
        <v>1500</v>
      </c>
      <c r="G22" s="7">
        <v>1860</v>
      </c>
      <c r="H22" s="7">
        <v>1762</v>
      </c>
      <c r="I22" s="7">
        <v>1390</v>
      </c>
      <c r="J22" s="7">
        <v>1286</v>
      </c>
      <c r="K22" s="7">
        <v>1640</v>
      </c>
      <c r="L22" s="7">
        <v>2110</v>
      </c>
      <c r="M22" s="7">
        <v>4</v>
      </c>
      <c r="N22" s="52"/>
      <c r="O22" s="52"/>
      <c r="P22" s="7">
        <v>1272</v>
      </c>
      <c r="Q22" s="7" t="s">
        <v>1295</v>
      </c>
      <c r="R22" s="7" t="s">
        <v>1626</v>
      </c>
      <c r="S22" s="7" t="s">
        <v>1625</v>
      </c>
      <c r="T22" s="7" t="s">
        <v>1627</v>
      </c>
      <c r="U22" s="7" t="s">
        <v>1628</v>
      </c>
      <c r="V22" s="7" t="s">
        <v>1629</v>
      </c>
      <c r="W22" s="7" t="s">
        <v>1630</v>
      </c>
      <c r="X22" s="7">
        <v>4</v>
      </c>
      <c r="Y22" s="7"/>
      <c r="Z22" s="7"/>
      <c r="AA22" s="7"/>
      <c r="AB22" s="7"/>
      <c r="AC22" s="7">
        <v>4</v>
      </c>
      <c r="AD22" s="7">
        <f t="shared" si="0"/>
        <v>1588</v>
      </c>
      <c r="AE22" s="7">
        <f t="shared" si="1"/>
        <v>1912</v>
      </c>
      <c r="AF22" s="7" t="s">
        <v>637</v>
      </c>
      <c r="AG22" s="7" t="s">
        <v>758</v>
      </c>
      <c r="AH22" s="7" t="s">
        <v>764</v>
      </c>
      <c r="AI22" s="7" t="s">
        <v>763</v>
      </c>
      <c r="AJ22" s="7" t="s">
        <v>1671</v>
      </c>
      <c r="AK22" s="7"/>
      <c r="AL22" s="7"/>
      <c r="AM22" s="7">
        <v>710</v>
      </c>
      <c r="AN22" s="16" t="s">
        <v>40</v>
      </c>
      <c r="AW22" s="2" t="str">
        <f>VLOOKUP("B03",trad_termini,ID_lingua,FALSE)</f>
        <v>GLUED CHIPS</v>
      </c>
      <c r="AX22" s="1" t="s">
        <v>837</v>
      </c>
      <c r="AY22" s="1"/>
      <c r="AZ22" s="1"/>
      <c r="BB22" s="1" t="s">
        <v>150</v>
      </c>
      <c r="BC22" s="68" t="s">
        <v>40</v>
      </c>
      <c r="BD22" s="1" t="s">
        <v>151</v>
      </c>
      <c r="BE22" s="1" t="s">
        <v>223</v>
      </c>
      <c r="BF22" s="1" t="s">
        <v>59</v>
      </c>
      <c r="BG22" s="1" t="s">
        <v>40</v>
      </c>
      <c r="BH22" s="1" t="s">
        <v>40</v>
      </c>
      <c r="BI22" s="1" t="s">
        <v>40</v>
      </c>
      <c r="BK22" s="2" t="s">
        <v>170</v>
      </c>
      <c r="BL22" s="2" t="s">
        <v>171</v>
      </c>
      <c r="BN22" s="1">
        <v>0.25</v>
      </c>
    </row>
    <row r="23" spans="1:82" ht="15" customHeight="1" x14ac:dyDescent="0.15">
      <c r="A23" s="44"/>
      <c r="B23" s="57" t="s">
        <v>817</v>
      </c>
      <c r="C23" s="68" t="s">
        <v>1154</v>
      </c>
      <c r="D23" s="1">
        <v>393</v>
      </c>
      <c r="E23" s="1">
        <v>2500</v>
      </c>
      <c r="F23" s="1">
        <v>2000</v>
      </c>
      <c r="G23" s="1">
        <v>2300</v>
      </c>
      <c r="H23" s="1">
        <v>2201</v>
      </c>
      <c r="I23" s="1">
        <v>1700</v>
      </c>
      <c r="J23" s="1">
        <v>1596</v>
      </c>
      <c r="K23" s="1">
        <v>2200</v>
      </c>
      <c r="L23" s="1">
        <v>2800</v>
      </c>
      <c r="M23" s="1">
        <v>5</v>
      </c>
      <c r="N23" s="57"/>
      <c r="O23" s="57"/>
      <c r="P23" s="1">
        <v>1502</v>
      </c>
      <c r="Q23" s="1" t="s">
        <v>1296</v>
      </c>
      <c r="R23" s="1" t="s">
        <v>1632</v>
      </c>
      <c r="S23" s="1" t="s">
        <v>1631</v>
      </c>
      <c r="T23" s="1" t="s">
        <v>1633</v>
      </c>
      <c r="U23" s="1" t="s">
        <v>1634</v>
      </c>
      <c r="V23" s="1" t="s">
        <v>1635</v>
      </c>
      <c r="W23" s="1" t="s">
        <v>1636</v>
      </c>
      <c r="X23" s="1">
        <v>2</v>
      </c>
      <c r="Y23" s="1"/>
      <c r="Z23" s="1"/>
      <c r="AA23" s="1"/>
      <c r="AB23" s="1"/>
      <c r="AC23" s="1">
        <v>5</v>
      </c>
      <c r="AD23" s="1">
        <f t="shared" si="0"/>
        <v>1963</v>
      </c>
      <c r="AE23" s="1">
        <f t="shared" si="1"/>
        <v>2537</v>
      </c>
      <c r="AF23" s="1" t="s">
        <v>637</v>
      </c>
      <c r="AG23" s="1" t="s">
        <v>758</v>
      </c>
      <c r="AH23" s="1" t="s">
        <v>764</v>
      </c>
      <c r="AI23" s="1" t="s">
        <v>763</v>
      </c>
      <c r="AJ23" s="1" t="s">
        <v>1671</v>
      </c>
      <c r="AK23" s="1"/>
      <c r="AL23" s="1"/>
      <c r="AM23" s="1">
        <f>900+305</f>
        <v>1205</v>
      </c>
      <c r="AN23" s="16" t="s">
        <v>40</v>
      </c>
      <c r="AW23" s="2" t="str">
        <f>VLOOKUP("B04",trad_termini,ID_lingua,FALSE)</f>
        <v>RECYCLED CHIPS</v>
      </c>
      <c r="AX23" s="1" t="s">
        <v>844</v>
      </c>
      <c r="AY23" s="1"/>
      <c r="AZ23" s="1"/>
      <c r="BB23" s="1" t="s">
        <v>152</v>
      </c>
      <c r="BC23" s="68" t="s">
        <v>40</v>
      </c>
      <c r="BD23" s="1" t="s">
        <v>153</v>
      </c>
      <c r="BE23" s="1" t="s">
        <v>224</v>
      </c>
      <c r="BF23" s="1" t="s">
        <v>60</v>
      </c>
      <c r="BG23" s="1" t="s">
        <v>40</v>
      </c>
      <c r="BH23" s="1" t="s">
        <v>40</v>
      </c>
      <c r="BI23" s="1" t="s">
        <v>40</v>
      </c>
      <c r="BK23" s="2" t="s">
        <v>172</v>
      </c>
      <c r="BL23" s="2" t="s">
        <v>173</v>
      </c>
      <c r="BN23" s="1">
        <v>0.37</v>
      </c>
    </row>
    <row r="24" spans="1:82" ht="15" customHeight="1" x14ac:dyDescent="0.15">
      <c r="A24" s="44"/>
      <c r="B24" s="52" t="s">
        <v>818</v>
      </c>
      <c r="C24" s="69" t="s">
        <v>1154</v>
      </c>
      <c r="D24" s="7">
        <v>523</v>
      </c>
      <c r="E24" s="7">
        <v>2500</v>
      </c>
      <c r="F24" s="7">
        <v>2000</v>
      </c>
      <c r="G24" s="7">
        <v>2300</v>
      </c>
      <c r="H24" s="7">
        <v>2201</v>
      </c>
      <c r="I24" s="7">
        <v>1700</v>
      </c>
      <c r="J24" s="7">
        <v>1596</v>
      </c>
      <c r="K24" s="7">
        <v>2200</v>
      </c>
      <c r="L24" s="7">
        <v>2800</v>
      </c>
      <c r="M24" s="7">
        <v>6</v>
      </c>
      <c r="N24" s="52"/>
      <c r="O24" s="52"/>
      <c r="P24" s="7">
        <v>1802</v>
      </c>
      <c r="Q24" s="7" t="s">
        <v>1296</v>
      </c>
      <c r="R24" s="7" t="s">
        <v>1632</v>
      </c>
      <c r="S24" s="7" t="s">
        <v>1631</v>
      </c>
      <c r="T24" s="7" t="s">
        <v>1633</v>
      </c>
      <c r="U24" s="7" t="s">
        <v>1634</v>
      </c>
      <c r="V24" s="7" t="s">
        <v>1635</v>
      </c>
      <c r="W24" s="7" t="s">
        <v>1636</v>
      </c>
      <c r="X24" s="7">
        <v>3</v>
      </c>
      <c r="Y24" s="7"/>
      <c r="Z24" s="7"/>
      <c r="AA24" s="7"/>
      <c r="AB24" s="7"/>
      <c r="AC24" s="7">
        <v>6</v>
      </c>
      <c r="AD24" s="7">
        <f t="shared" si="0"/>
        <v>1963</v>
      </c>
      <c r="AE24" s="7">
        <f t="shared" si="1"/>
        <v>2537</v>
      </c>
      <c r="AF24" s="7" t="s">
        <v>637</v>
      </c>
      <c r="AG24" s="7" t="s">
        <v>758</v>
      </c>
      <c r="AH24" s="7" t="s">
        <v>764</v>
      </c>
      <c r="AI24" s="7" t="s">
        <v>763</v>
      </c>
      <c r="AJ24" s="7" t="s">
        <v>1671</v>
      </c>
      <c r="AK24" s="7"/>
      <c r="AL24" s="7"/>
      <c r="AM24" s="7">
        <f>900+305</f>
        <v>1205</v>
      </c>
      <c r="AN24" s="16" t="s">
        <v>40</v>
      </c>
      <c r="AW24" s="2" t="str">
        <f>VLOOKUP("B05",trad_termini,ID_lingua,FALSE)</f>
        <v>SAWDUST</v>
      </c>
      <c r="AX24" s="1" t="s">
        <v>828</v>
      </c>
      <c r="AY24" s="1"/>
      <c r="AZ24" s="1"/>
      <c r="BB24" s="1" t="s">
        <v>154</v>
      </c>
      <c r="BC24" s="68" t="s">
        <v>40</v>
      </c>
      <c r="BD24" s="1" t="s">
        <v>155</v>
      </c>
      <c r="BE24" s="1" t="s">
        <v>225</v>
      </c>
      <c r="BF24" s="1" t="s">
        <v>61</v>
      </c>
      <c r="BG24" s="1" t="s">
        <v>40</v>
      </c>
      <c r="BH24" s="1" t="s">
        <v>40</v>
      </c>
      <c r="BI24" s="1" t="s">
        <v>40</v>
      </c>
      <c r="BK24" s="16" t="s">
        <v>40</v>
      </c>
      <c r="BL24" s="2" t="s">
        <v>174</v>
      </c>
      <c r="BN24" s="1">
        <v>0.55000000000000004</v>
      </c>
    </row>
    <row r="25" spans="1:82" ht="15" customHeight="1" x14ac:dyDescent="0.15">
      <c r="A25" s="44"/>
      <c r="B25" s="57" t="s">
        <v>811</v>
      </c>
      <c r="C25" s="68" t="s">
        <v>1155</v>
      </c>
      <c r="D25" s="1">
        <v>523</v>
      </c>
      <c r="E25" s="1">
        <v>2500</v>
      </c>
      <c r="F25" s="1">
        <v>2000</v>
      </c>
      <c r="G25" s="1">
        <v>2300</v>
      </c>
      <c r="H25" s="1">
        <v>2201</v>
      </c>
      <c r="I25" s="1">
        <v>1630</v>
      </c>
      <c r="J25" s="1">
        <v>1526</v>
      </c>
      <c r="K25" s="1">
        <v>2200</v>
      </c>
      <c r="L25" s="1">
        <v>2870</v>
      </c>
      <c r="M25" s="1">
        <v>7</v>
      </c>
      <c r="N25" s="57"/>
      <c r="O25" s="57"/>
      <c r="P25" s="1">
        <v>1482</v>
      </c>
      <c r="Q25" s="1" t="s">
        <v>1297</v>
      </c>
      <c r="R25" s="1" t="s">
        <v>1638</v>
      </c>
      <c r="S25" s="1" t="s">
        <v>1637</v>
      </c>
      <c r="T25" s="1" t="s">
        <v>1639</v>
      </c>
      <c r="U25" s="1" t="s">
        <v>1640</v>
      </c>
      <c r="V25" s="1" t="s">
        <v>1641</v>
      </c>
      <c r="W25" s="1" t="s">
        <v>1642</v>
      </c>
      <c r="X25" s="1">
        <v>2</v>
      </c>
      <c r="Y25" s="1"/>
      <c r="Z25" s="1"/>
      <c r="AA25" s="1"/>
      <c r="AB25" s="1"/>
      <c r="AC25" s="1">
        <v>7</v>
      </c>
      <c r="AD25" s="1">
        <f t="shared" si="0"/>
        <v>1928</v>
      </c>
      <c r="AE25" s="1">
        <f t="shared" si="1"/>
        <v>2572</v>
      </c>
      <c r="AF25" s="1" t="s">
        <v>637</v>
      </c>
      <c r="AG25" s="1" t="s">
        <v>758</v>
      </c>
      <c r="AH25" s="1" t="s">
        <v>764</v>
      </c>
      <c r="AI25" s="1" t="s">
        <v>763</v>
      </c>
      <c r="AJ25" s="1" t="s">
        <v>1672</v>
      </c>
      <c r="AK25" s="1"/>
      <c r="AL25" s="1"/>
      <c r="AM25" s="1">
        <f>1050+300</f>
        <v>1350</v>
      </c>
      <c r="AN25" s="16" t="s">
        <v>40</v>
      </c>
      <c r="AW25" s="2" t="str">
        <f>VLOOKUP("B06",trad_termini,ID_lingua,FALSE)</f>
        <v>WOOD FIBER</v>
      </c>
      <c r="AX25" s="1" t="s">
        <v>828</v>
      </c>
      <c r="AY25" s="1"/>
      <c r="AZ25" s="1"/>
      <c r="BB25" s="1" t="s">
        <v>156</v>
      </c>
      <c r="BC25" s="68" t="s">
        <v>40</v>
      </c>
      <c r="BD25" s="1" t="s">
        <v>157</v>
      </c>
      <c r="BE25" s="1" t="s">
        <v>226</v>
      </c>
      <c r="BF25" s="1" t="s">
        <v>62</v>
      </c>
      <c r="BG25" s="1" t="s">
        <v>40</v>
      </c>
      <c r="BH25" s="1" t="s">
        <v>40</v>
      </c>
      <c r="BI25" s="1" t="s">
        <v>40</v>
      </c>
      <c r="BL25" s="2" t="s">
        <v>175</v>
      </c>
      <c r="BN25" s="1">
        <v>0.75</v>
      </c>
    </row>
    <row r="26" spans="1:82" ht="15" customHeight="1" x14ac:dyDescent="0.15">
      <c r="A26" s="44"/>
      <c r="B26" s="57" t="s">
        <v>812</v>
      </c>
      <c r="C26" s="68" t="s">
        <v>1155</v>
      </c>
      <c r="D26" s="1">
        <v>523</v>
      </c>
      <c r="E26" s="1">
        <v>2500</v>
      </c>
      <c r="F26" s="1">
        <v>2000</v>
      </c>
      <c r="G26" s="1">
        <v>2300</v>
      </c>
      <c r="H26" s="1">
        <v>2201</v>
      </c>
      <c r="I26" s="1">
        <v>1630</v>
      </c>
      <c r="J26" s="1">
        <v>1526</v>
      </c>
      <c r="K26" s="1">
        <v>2200</v>
      </c>
      <c r="L26" s="1">
        <v>2870</v>
      </c>
      <c r="M26" s="1">
        <v>8</v>
      </c>
      <c r="N26" s="57"/>
      <c r="O26" s="57"/>
      <c r="P26" s="1">
        <v>1782</v>
      </c>
      <c r="Q26" s="1" t="s">
        <v>1297</v>
      </c>
      <c r="R26" s="1" t="s">
        <v>1638</v>
      </c>
      <c r="S26" s="1" t="s">
        <v>1637</v>
      </c>
      <c r="T26" s="1" t="s">
        <v>1639</v>
      </c>
      <c r="U26" s="1" t="s">
        <v>1640</v>
      </c>
      <c r="V26" s="1" t="s">
        <v>1641</v>
      </c>
      <c r="W26" s="1" t="s">
        <v>1642</v>
      </c>
      <c r="X26" s="1">
        <v>3</v>
      </c>
      <c r="Y26" s="1"/>
      <c r="Z26" s="1"/>
      <c r="AA26" s="1"/>
      <c r="AB26" s="1"/>
      <c r="AC26" s="1">
        <v>8</v>
      </c>
      <c r="AD26" s="1">
        <f t="shared" si="0"/>
        <v>1928</v>
      </c>
      <c r="AE26" s="1">
        <f t="shared" si="1"/>
        <v>2572</v>
      </c>
      <c r="AF26" s="1" t="s">
        <v>637</v>
      </c>
      <c r="AG26" s="1" t="s">
        <v>758</v>
      </c>
      <c r="AH26" s="1" t="s">
        <v>764</v>
      </c>
      <c r="AI26" s="1" t="s">
        <v>763</v>
      </c>
      <c r="AJ26" s="1" t="s">
        <v>1672</v>
      </c>
      <c r="AK26" s="1"/>
      <c r="AL26" s="1"/>
      <c r="AM26" s="1">
        <f t="shared" ref="AM26:AM27" si="2">1050+300</f>
        <v>1350</v>
      </c>
      <c r="AN26" s="16" t="s">
        <v>40</v>
      </c>
      <c r="AW26" s="2" t="str">
        <f>VLOOKUP("B07",trad_termini,ID_lingua,FALSE)</f>
        <v>OSB</v>
      </c>
      <c r="AX26" s="1" t="s">
        <v>99</v>
      </c>
      <c r="AY26" s="1"/>
      <c r="AZ26" s="1"/>
      <c r="BB26" s="1" t="s">
        <v>158</v>
      </c>
      <c r="BC26" s="68" t="s">
        <v>40</v>
      </c>
      <c r="BD26" s="1" t="s">
        <v>159</v>
      </c>
      <c r="BE26" s="1" t="s">
        <v>227</v>
      </c>
      <c r="BF26" s="1" t="s">
        <v>237</v>
      </c>
      <c r="BG26" s="1" t="s">
        <v>40</v>
      </c>
      <c r="BH26" s="1" t="s">
        <v>40</v>
      </c>
      <c r="BI26" s="1" t="s">
        <v>40</v>
      </c>
      <c r="BL26" s="2" t="s">
        <v>176</v>
      </c>
      <c r="BN26" s="1">
        <v>1.1000000000000001</v>
      </c>
    </row>
    <row r="27" spans="1:82" ht="15" customHeight="1" x14ac:dyDescent="0.15">
      <c r="A27" s="44"/>
      <c r="B27" s="52" t="s">
        <v>813</v>
      </c>
      <c r="C27" s="69" t="s">
        <v>1155</v>
      </c>
      <c r="D27" s="7">
        <v>523</v>
      </c>
      <c r="E27" s="7">
        <v>2500</v>
      </c>
      <c r="F27" s="7">
        <v>2000</v>
      </c>
      <c r="G27" s="7">
        <v>2300</v>
      </c>
      <c r="H27" s="7">
        <v>2201</v>
      </c>
      <c r="I27" s="7">
        <v>1630</v>
      </c>
      <c r="J27" s="7">
        <v>1526</v>
      </c>
      <c r="K27" s="7">
        <v>2200</v>
      </c>
      <c r="L27" s="7">
        <v>2870</v>
      </c>
      <c r="M27" s="7">
        <v>9</v>
      </c>
      <c r="N27" s="52"/>
      <c r="O27" s="52"/>
      <c r="P27" s="7">
        <v>2232</v>
      </c>
      <c r="Q27" s="7" t="s">
        <v>1297</v>
      </c>
      <c r="R27" s="7" t="s">
        <v>1638</v>
      </c>
      <c r="S27" s="7" t="s">
        <v>1637</v>
      </c>
      <c r="T27" s="7" t="s">
        <v>1639</v>
      </c>
      <c r="U27" s="7" t="s">
        <v>1640</v>
      </c>
      <c r="V27" s="7" t="s">
        <v>1641</v>
      </c>
      <c r="W27" s="7" t="s">
        <v>1642</v>
      </c>
      <c r="X27" s="7">
        <v>4</v>
      </c>
      <c r="Y27" s="7"/>
      <c r="Z27" s="7"/>
      <c r="AA27" s="7"/>
      <c r="AB27" s="7"/>
      <c r="AC27" s="7">
        <v>9</v>
      </c>
      <c r="AD27" s="7">
        <f t="shared" si="0"/>
        <v>1928</v>
      </c>
      <c r="AE27" s="7">
        <f t="shared" si="1"/>
        <v>2572</v>
      </c>
      <c r="AF27" s="7" t="s">
        <v>637</v>
      </c>
      <c r="AG27" s="7" t="s">
        <v>758</v>
      </c>
      <c r="AH27" s="7" t="s">
        <v>764</v>
      </c>
      <c r="AI27" s="7" t="s">
        <v>763</v>
      </c>
      <c r="AJ27" s="7" t="s">
        <v>1672</v>
      </c>
      <c r="AK27" s="7"/>
      <c r="AL27" s="7"/>
      <c r="AM27" s="7">
        <f t="shared" si="2"/>
        <v>1350</v>
      </c>
      <c r="AN27" s="16" t="s">
        <v>40</v>
      </c>
      <c r="AW27" s="2" t="str">
        <f>VLOOKUP("B08",trad_termini,ID_lingua,FALSE)</f>
        <v>GLUED OSB</v>
      </c>
      <c r="AX27" s="1" t="s">
        <v>929</v>
      </c>
      <c r="AY27" s="1"/>
      <c r="AZ27" s="1"/>
      <c r="BB27" s="1" t="s">
        <v>40</v>
      </c>
      <c r="BC27" s="68" t="s">
        <v>40</v>
      </c>
      <c r="BD27" s="1" t="s">
        <v>40</v>
      </c>
      <c r="BE27" s="1" t="s">
        <v>40</v>
      </c>
      <c r="BF27" s="1" t="s">
        <v>40</v>
      </c>
      <c r="BG27" s="1" t="s">
        <v>40</v>
      </c>
      <c r="BH27" s="1" t="s">
        <v>40</v>
      </c>
      <c r="BI27" s="1" t="s">
        <v>40</v>
      </c>
      <c r="BL27" s="2" t="s">
        <v>177</v>
      </c>
      <c r="BN27" s="1">
        <v>1.5</v>
      </c>
    </row>
    <row r="28" spans="1:82" ht="15" customHeight="1" x14ac:dyDescent="0.15">
      <c r="A28" s="44"/>
      <c r="B28" s="57" t="s">
        <v>40</v>
      </c>
      <c r="C28" s="16" t="s">
        <v>40</v>
      </c>
      <c r="D28" s="16" t="s">
        <v>40</v>
      </c>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t="s">
        <v>40</v>
      </c>
      <c r="AW28" s="16" t="s">
        <v>40</v>
      </c>
      <c r="AX28" s="17" t="s">
        <v>40</v>
      </c>
      <c r="AY28" s="16"/>
      <c r="AZ28" s="1"/>
      <c r="BB28" s="1" t="s">
        <v>162</v>
      </c>
      <c r="BC28" s="68" t="s">
        <v>1263</v>
      </c>
      <c r="BD28" s="1" t="s">
        <v>40</v>
      </c>
      <c r="BE28" s="1" t="s">
        <v>40</v>
      </c>
      <c r="BF28" s="1" t="s">
        <v>40</v>
      </c>
      <c r="BG28" s="1" t="s">
        <v>384</v>
      </c>
      <c r="BH28" s="1">
        <v>25</v>
      </c>
      <c r="BI28" s="1" t="s">
        <v>40</v>
      </c>
      <c r="BN28" s="1">
        <v>5.5</v>
      </c>
    </row>
    <row r="29" spans="1:82" ht="15" customHeight="1" x14ac:dyDescent="0.15">
      <c r="A29" s="44"/>
      <c r="BB29" s="1" t="s">
        <v>163</v>
      </c>
      <c r="BC29" s="68" t="s">
        <v>1264</v>
      </c>
      <c r="BD29" s="1" t="s">
        <v>40</v>
      </c>
      <c r="BE29" s="1" t="s">
        <v>40</v>
      </c>
      <c r="BF29" s="1" t="s">
        <v>40</v>
      </c>
      <c r="BG29" s="1" t="s">
        <v>392</v>
      </c>
      <c r="BH29" s="1">
        <v>40</v>
      </c>
      <c r="BI29" s="1" t="s">
        <v>40</v>
      </c>
      <c r="BN29" s="1">
        <v>7.5</v>
      </c>
    </row>
    <row r="30" spans="1:82" ht="15" customHeight="1" x14ac:dyDescent="0.15">
      <c r="A30" s="44"/>
      <c r="BB30" s="1" t="s">
        <v>164</v>
      </c>
      <c r="BC30" s="68" t="s">
        <v>1265</v>
      </c>
      <c r="BD30" s="1" t="s">
        <v>40</v>
      </c>
      <c r="BE30" s="1" t="s">
        <v>40</v>
      </c>
      <c r="BF30" s="1" t="s">
        <v>40</v>
      </c>
      <c r="BG30" s="1" t="s">
        <v>405</v>
      </c>
      <c r="BH30" s="1">
        <v>40</v>
      </c>
      <c r="BI30" s="1" t="s">
        <v>40</v>
      </c>
      <c r="BN30" s="1">
        <v>9.1999999999999993</v>
      </c>
    </row>
    <row r="31" spans="1:82" ht="15" customHeight="1" x14ac:dyDescent="0.15">
      <c r="A31" s="44"/>
      <c r="BB31" s="1" t="s">
        <v>40</v>
      </c>
      <c r="BC31" s="68" t="s">
        <v>40</v>
      </c>
      <c r="BD31" s="1" t="s">
        <v>40</v>
      </c>
      <c r="BE31" s="1" t="s">
        <v>40</v>
      </c>
      <c r="BF31" s="1" t="s">
        <v>40</v>
      </c>
      <c r="BG31" s="1" t="s">
        <v>40</v>
      </c>
      <c r="BH31" s="1" t="s">
        <v>40</v>
      </c>
      <c r="BI31" s="1" t="s">
        <v>40</v>
      </c>
      <c r="BN31" s="1">
        <v>11</v>
      </c>
    </row>
    <row r="32" spans="1:82" ht="15" customHeight="1" x14ac:dyDescent="0.15">
      <c r="A32" s="44"/>
      <c r="B32" s="2" t="s">
        <v>243</v>
      </c>
      <c r="C32" s="12">
        <v>2</v>
      </c>
      <c r="D32" s="12">
        <v>3</v>
      </c>
      <c r="E32" s="12">
        <v>4</v>
      </c>
      <c r="F32" s="12">
        <v>5</v>
      </c>
      <c r="G32" s="12">
        <v>6</v>
      </c>
      <c r="H32" s="12">
        <v>7</v>
      </c>
      <c r="I32" s="12">
        <v>8</v>
      </c>
      <c r="J32" s="12">
        <v>9</v>
      </c>
      <c r="K32" s="12">
        <v>10</v>
      </c>
      <c r="L32" s="12">
        <v>11</v>
      </c>
      <c r="M32" s="12">
        <v>12</v>
      </c>
      <c r="N32" s="12">
        <v>13</v>
      </c>
      <c r="O32" s="12">
        <v>14</v>
      </c>
      <c r="P32" s="12">
        <v>15</v>
      </c>
      <c r="Q32" s="12">
        <v>16</v>
      </c>
      <c r="R32" s="12">
        <v>17</v>
      </c>
      <c r="S32" s="12">
        <v>18</v>
      </c>
      <c r="AV32" s="2" t="s">
        <v>1614</v>
      </c>
      <c r="BB32" s="1" t="s">
        <v>252</v>
      </c>
      <c r="BC32" s="68" t="s">
        <v>40</v>
      </c>
      <c r="BD32" s="1" t="s">
        <v>40</v>
      </c>
      <c r="BE32" s="1" t="s">
        <v>40</v>
      </c>
      <c r="BF32" s="1" t="s">
        <v>40</v>
      </c>
      <c r="BG32" s="1" t="s">
        <v>40</v>
      </c>
      <c r="BH32" s="1">
        <v>25</v>
      </c>
      <c r="BI32" s="1">
        <v>77</v>
      </c>
      <c r="BN32" s="1">
        <v>15</v>
      </c>
    </row>
    <row r="33" spans="1:66" ht="15" customHeight="1" x14ac:dyDescent="0.15">
      <c r="A33" s="44"/>
      <c r="D33" s="1" t="s">
        <v>297</v>
      </c>
      <c r="F33" s="1" t="s">
        <v>298</v>
      </c>
      <c r="G33" s="279" t="s">
        <v>299</v>
      </c>
      <c r="H33" s="279"/>
      <c r="I33" s="1" t="s">
        <v>1207</v>
      </c>
      <c r="J33" s="279" t="s">
        <v>309</v>
      </c>
      <c r="K33" s="279"/>
      <c r="L33" s="1" t="s">
        <v>515</v>
      </c>
      <c r="M33" s="1" t="s">
        <v>722</v>
      </c>
      <c r="N33" s="1"/>
      <c r="O33" s="1"/>
      <c r="AV33" s="44" t="s">
        <v>1615</v>
      </c>
      <c r="AW33" s="278" t="s">
        <v>1616</v>
      </c>
      <c r="AX33" s="278"/>
      <c r="BB33" s="1" t="s">
        <v>253</v>
      </c>
      <c r="BC33" s="68">
        <v>11</v>
      </c>
      <c r="BD33" s="1" t="s">
        <v>40</v>
      </c>
      <c r="BE33" s="1" t="s">
        <v>40</v>
      </c>
      <c r="BF33" s="1" t="s">
        <v>40</v>
      </c>
      <c r="BG33" s="1" t="s">
        <v>40</v>
      </c>
      <c r="BH33" s="1">
        <v>25</v>
      </c>
      <c r="BI33" s="1">
        <v>87</v>
      </c>
      <c r="BN33" s="1">
        <v>18.5</v>
      </c>
    </row>
    <row r="34" spans="1:66" ht="15" customHeight="1" x14ac:dyDescent="0.15">
      <c r="A34" s="44"/>
      <c r="B34" s="2" t="s">
        <v>7</v>
      </c>
      <c r="C34" s="1" t="s">
        <v>291</v>
      </c>
      <c r="D34" s="1" t="s">
        <v>181</v>
      </c>
      <c r="E34" s="1" t="s">
        <v>301</v>
      </c>
      <c r="F34" s="1" t="s">
        <v>23</v>
      </c>
      <c r="G34" s="1" t="s">
        <v>1195</v>
      </c>
      <c r="H34" s="1" t="s">
        <v>184</v>
      </c>
      <c r="I34" s="1" t="s">
        <v>197</v>
      </c>
      <c r="J34" s="1"/>
      <c r="K34" s="1"/>
      <c r="L34" s="1" t="s">
        <v>197</v>
      </c>
      <c r="M34" s="1" t="s">
        <v>197</v>
      </c>
      <c r="N34" s="1"/>
      <c r="O34" s="1"/>
      <c r="AW34" s="1" t="s">
        <v>829</v>
      </c>
      <c r="AX34" s="1" t="s">
        <v>750</v>
      </c>
      <c r="BB34" s="1" t="s">
        <v>254</v>
      </c>
      <c r="BC34" s="68">
        <v>12</v>
      </c>
      <c r="BD34" s="1" t="s">
        <v>40</v>
      </c>
      <c r="BE34" s="1" t="s">
        <v>40</v>
      </c>
      <c r="BF34" s="1" t="s">
        <v>40</v>
      </c>
      <c r="BG34" s="1" t="s">
        <v>40</v>
      </c>
      <c r="BH34" s="1">
        <v>25</v>
      </c>
      <c r="BI34" s="1">
        <v>97</v>
      </c>
      <c r="BN34" s="1">
        <v>22</v>
      </c>
    </row>
    <row r="35" spans="1:66" ht="15" customHeight="1" x14ac:dyDescent="0.15">
      <c r="A35" s="44" t="s">
        <v>639</v>
      </c>
      <c r="B35" s="2" t="s">
        <v>814</v>
      </c>
      <c r="C35" s="1">
        <v>14226</v>
      </c>
      <c r="D35" s="1">
        <v>10</v>
      </c>
      <c r="E35" s="70">
        <f>VALUE(LEFT(C35,3))/SIN(PI()/D35)</f>
        <v>459.52165280497019</v>
      </c>
      <c r="F35" s="57"/>
      <c r="G35" s="1">
        <v>10</v>
      </c>
      <c r="H35" s="1" t="s">
        <v>1194</v>
      </c>
      <c r="I35" s="50">
        <f t="shared" ref="I35:I42" si="3">2*L35+(E35/2+hm_cat)*PI()</f>
        <v>3700.3547406485118</v>
      </c>
      <c r="J35" s="1"/>
      <c r="K35" s="1"/>
      <c r="L35" s="1">
        <v>1450</v>
      </c>
      <c r="M35" s="1">
        <v>2000</v>
      </c>
      <c r="N35" s="1"/>
      <c r="O35" s="1"/>
      <c r="T35" s="17" t="s">
        <v>40</v>
      </c>
      <c r="AV35" s="3" t="s">
        <v>1609</v>
      </c>
      <c r="AW35" s="1" t="s">
        <v>1611</v>
      </c>
      <c r="AX35" s="1" t="s">
        <v>1613</v>
      </c>
      <c r="AY35" s="16"/>
      <c r="BB35" s="1" t="s">
        <v>255</v>
      </c>
      <c r="BC35" s="68">
        <v>13</v>
      </c>
      <c r="BD35" s="1" t="s">
        <v>40</v>
      </c>
      <c r="BE35" s="1" t="s">
        <v>40</v>
      </c>
      <c r="BF35" s="1" t="s">
        <v>40</v>
      </c>
      <c r="BG35" s="1" t="s">
        <v>40</v>
      </c>
      <c r="BH35" s="1">
        <v>25</v>
      </c>
      <c r="BI35" s="1">
        <v>107</v>
      </c>
      <c r="BN35" s="1">
        <v>30</v>
      </c>
    </row>
    <row r="36" spans="1:66" ht="15" customHeight="1" x14ac:dyDescent="0.15">
      <c r="A36" s="44"/>
      <c r="B36" s="2" t="s">
        <v>815</v>
      </c>
      <c r="C36" s="1">
        <v>14226</v>
      </c>
      <c r="D36" s="1">
        <v>10</v>
      </c>
      <c r="E36" s="70">
        <f t="shared" ref="E36:E42" si="4">VALUE(LEFT(C36,3))/SIN(PI()/D36)</f>
        <v>459.52165280497019</v>
      </c>
      <c r="F36" s="57"/>
      <c r="G36" s="1">
        <v>10</v>
      </c>
      <c r="H36" s="1" t="s">
        <v>1194</v>
      </c>
      <c r="I36" s="50">
        <f t="shared" si="3"/>
        <v>3700.3547406485118</v>
      </c>
      <c r="J36" s="1"/>
      <c r="K36" s="1"/>
      <c r="L36" s="1">
        <v>1450</v>
      </c>
      <c r="M36" s="1">
        <v>2000</v>
      </c>
      <c r="N36" s="1"/>
      <c r="O36" s="1"/>
      <c r="T36" s="17" t="s">
        <v>40</v>
      </c>
      <c r="AV36" s="3" t="s">
        <v>1610</v>
      </c>
      <c r="AW36" s="1" t="s">
        <v>1611</v>
      </c>
      <c r="AX36" s="1" t="s">
        <v>1612</v>
      </c>
      <c r="AY36" s="16"/>
      <c r="BB36" s="1" t="s">
        <v>256</v>
      </c>
      <c r="BC36" s="68">
        <v>14</v>
      </c>
      <c r="BD36" s="1" t="s">
        <v>40</v>
      </c>
      <c r="BE36" s="1" t="s">
        <v>40</v>
      </c>
      <c r="BF36" s="1" t="s">
        <v>40</v>
      </c>
      <c r="BG36" s="1" t="s">
        <v>40</v>
      </c>
      <c r="BH36" s="1">
        <v>40</v>
      </c>
      <c r="BI36" s="1">
        <v>127</v>
      </c>
      <c r="BN36" s="1">
        <v>37</v>
      </c>
    </row>
    <row r="37" spans="1:66" ht="15" customHeight="1" x14ac:dyDescent="0.15">
      <c r="A37" s="44"/>
      <c r="B37" s="8" t="s">
        <v>816</v>
      </c>
      <c r="C37" s="7">
        <v>14226</v>
      </c>
      <c r="D37" s="7">
        <v>10</v>
      </c>
      <c r="E37" s="39">
        <f t="shared" si="4"/>
        <v>459.52165280497019</v>
      </c>
      <c r="F37" s="52"/>
      <c r="G37" s="7">
        <v>10</v>
      </c>
      <c r="H37" s="7" t="s">
        <v>1194</v>
      </c>
      <c r="I37" s="49">
        <f t="shared" si="3"/>
        <v>3700.3547406485118</v>
      </c>
      <c r="J37" s="7"/>
      <c r="K37" s="7"/>
      <c r="L37" s="7">
        <v>1450</v>
      </c>
      <c r="M37" s="7">
        <v>2000</v>
      </c>
      <c r="N37" s="7"/>
      <c r="O37" s="7"/>
      <c r="P37" s="8"/>
      <c r="Q37" s="8"/>
      <c r="R37" s="8"/>
      <c r="S37" s="8"/>
      <c r="T37" s="17" t="s">
        <v>40</v>
      </c>
      <c r="AV37" s="16"/>
      <c r="AW37" s="16"/>
      <c r="AX37" s="16"/>
      <c r="AY37" s="16"/>
      <c r="BB37" s="1" t="s">
        <v>257</v>
      </c>
      <c r="BC37" s="68">
        <v>15</v>
      </c>
      <c r="BD37" s="1" t="s">
        <v>40</v>
      </c>
      <c r="BE37" s="1" t="s">
        <v>40</v>
      </c>
      <c r="BF37" s="1" t="s">
        <v>40</v>
      </c>
      <c r="BG37" s="1" t="s">
        <v>40</v>
      </c>
      <c r="BH37" s="1">
        <v>40</v>
      </c>
      <c r="BI37" s="1">
        <v>157</v>
      </c>
      <c r="BN37" s="1">
        <v>45</v>
      </c>
    </row>
    <row r="38" spans="1:66" ht="15" customHeight="1" x14ac:dyDescent="0.15">
      <c r="A38" s="44"/>
      <c r="B38" s="2" t="s">
        <v>817</v>
      </c>
      <c r="C38" s="1">
        <v>14226</v>
      </c>
      <c r="D38" s="1">
        <v>12</v>
      </c>
      <c r="E38" s="70">
        <f t="shared" si="4"/>
        <v>548.64586933219084</v>
      </c>
      <c r="F38" s="57"/>
      <c r="G38" s="1">
        <v>12</v>
      </c>
      <c r="H38" s="1" t="s">
        <v>300</v>
      </c>
      <c r="I38" s="50">
        <f t="shared" si="3"/>
        <v>3540.3507325979431</v>
      </c>
      <c r="J38" s="1"/>
      <c r="K38" s="1"/>
      <c r="L38" s="1">
        <v>1300</v>
      </c>
      <c r="M38" s="1">
        <v>2000</v>
      </c>
      <c r="N38" s="1"/>
      <c r="O38" s="1"/>
      <c r="T38" s="17" t="s">
        <v>40</v>
      </c>
      <c r="BB38" s="1" t="s">
        <v>40</v>
      </c>
      <c r="BC38" s="68" t="s">
        <v>40</v>
      </c>
      <c r="BD38" s="1" t="s">
        <v>40</v>
      </c>
      <c r="BE38" s="1" t="s">
        <v>40</v>
      </c>
      <c r="BF38" s="1" t="s">
        <v>40</v>
      </c>
      <c r="BG38" s="1" t="s">
        <v>40</v>
      </c>
      <c r="BH38" s="1" t="s">
        <v>40</v>
      </c>
      <c r="BI38" s="1" t="s">
        <v>40</v>
      </c>
      <c r="BN38" s="1">
        <v>55</v>
      </c>
    </row>
    <row r="39" spans="1:66" ht="15" customHeight="1" x14ac:dyDescent="0.15">
      <c r="A39" s="44"/>
      <c r="B39" s="8" t="s">
        <v>818</v>
      </c>
      <c r="C39" s="7">
        <v>14226</v>
      </c>
      <c r="D39" s="7">
        <v>12</v>
      </c>
      <c r="E39" s="39">
        <f t="shared" si="4"/>
        <v>548.64586933219084</v>
      </c>
      <c r="F39" s="52"/>
      <c r="G39" s="7">
        <v>12</v>
      </c>
      <c r="H39" s="7" t="s">
        <v>300</v>
      </c>
      <c r="I39" s="49">
        <f t="shared" si="3"/>
        <v>3540.3507325979431</v>
      </c>
      <c r="J39" s="7"/>
      <c r="K39" s="7"/>
      <c r="L39" s="7">
        <v>1300</v>
      </c>
      <c r="M39" s="7">
        <v>2000</v>
      </c>
      <c r="N39" s="7"/>
      <c r="O39" s="7"/>
      <c r="P39" s="8"/>
      <c r="Q39" s="8"/>
      <c r="R39" s="8"/>
      <c r="S39" s="8"/>
      <c r="T39" s="17" t="s">
        <v>40</v>
      </c>
      <c r="BB39" s="1" t="s">
        <v>1689</v>
      </c>
      <c r="BC39" s="68">
        <v>42</v>
      </c>
      <c r="BD39" s="1" t="s">
        <v>40</v>
      </c>
      <c r="BE39" s="1" t="s">
        <v>40</v>
      </c>
      <c r="BF39" s="1" t="s">
        <v>40</v>
      </c>
      <c r="BG39" s="1" t="s">
        <v>40</v>
      </c>
      <c r="BH39" s="1">
        <v>25</v>
      </c>
      <c r="BI39" s="1">
        <v>97</v>
      </c>
      <c r="BN39" s="1">
        <v>75</v>
      </c>
    </row>
    <row r="40" spans="1:66" ht="15" customHeight="1" x14ac:dyDescent="0.15">
      <c r="A40" s="44"/>
      <c r="B40" s="2" t="s">
        <v>811</v>
      </c>
      <c r="C40" s="1">
        <v>14226</v>
      </c>
      <c r="D40" s="1">
        <v>14</v>
      </c>
      <c r="E40" s="70">
        <f t="shared" si="4"/>
        <v>638.14220745576063</v>
      </c>
      <c r="F40" s="57"/>
      <c r="G40" s="1">
        <v>12</v>
      </c>
      <c r="H40" s="1" t="s">
        <v>300</v>
      </c>
      <c r="I40" s="50">
        <f t="shared" si="3"/>
        <v>5480.9312517840408</v>
      </c>
      <c r="J40" s="1"/>
      <c r="K40" s="1"/>
      <c r="L40" s="1">
        <f>1200+1000</f>
        <v>2200</v>
      </c>
      <c r="M40" s="1">
        <f>2000+1000</f>
        <v>3000</v>
      </c>
      <c r="N40" s="1"/>
      <c r="O40" s="1"/>
      <c r="T40" s="17" t="s">
        <v>40</v>
      </c>
      <c r="BB40" s="1" t="s">
        <v>1690</v>
      </c>
      <c r="BC40" s="68">
        <v>43</v>
      </c>
      <c r="BD40" s="1" t="s">
        <v>40</v>
      </c>
      <c r="BE40" s="1" t="s">
        <v>40</v>
      </c>
      <c r="BF40" s="1" t="s">
        <v>40</v>
      </c>
      <c r="BG40" s="1" t="s">
        <v>40</v>
      </c>
      <c r="BH40" s="1">
        <v>25</v>
      </c>
      <c r="BI40" s="1">
        <v>107</v>
      </c>
      <c r="BN40" s="17" t="s">
        <v>40</v>
      </c>
    </row>
    <row r="41" spans="1:66" ht="15" customHeight="1" x14ac:dyDescent="0.15">
      <c r="A41" s="44"/>
      <c r="B41" s="2" t="s">
        <v>812</v>
      </c>
      <c r="C41" s="1">
        <v>14226</v>
      </c>
      <c r="D41" s="1">
        <v>14</v>
      </c>
      <c r="E41" s="70">
        <f t="shared" si="4"/>
        <v>638.14220745576063</v>
      </c>
      <c r="F41" s="57"/>
      <c r="G41" s="1">
        <v>12</v>
      </c>
      <c r="H41" s="1" t="s">
        <v>300</v>
      </c>
      <c r="I41" s="50">
        <f t="shared" si="3"/>
        <v>5480.9312517840408</v>
      </c>
      <c r="J41" s="1"/>
      <c r="K41" s="1"/>
      <c r="L41" s="1">
        <f t="shared" ref="L41:L42" si="5">1200+1000</f>
        <v>2200</v>
      </c>
      <c r="M41" s="1">
        <f t="shared" ref="M41:M42" si="6">2000+1000</f>
        <v>3000</v>
      </c>
      <c r="N41" s="1"/>
      <c r="O41" s="1"/>
      <c r="T41" s="17" t="s">
        <v>40</v>
      </c>
      <c r="BB41" s="1" t="s">
        <v>1675</v>
      </c>
      <c r="BC41" s="68">
        <v>44</v>
      </c>
      <c r="BD41" s="1" t="s">
        <v>40</v>
      </c>
      <c r="BE41" s="1" t="s">
        <v>40</v>
      </c>
      <c r="BF41" s="1" t="s">
        <v>40</v>
      </c>
      <c r="BG41" s="1" t="s">
        <v>40</v>
      </c>
      <c r="BH41" s="1">
        <v>40</v>
      </c>
      <c r="BI41" s="1">
        <v>127</v>
      </c>
    </row>
    <row r="42" spans="1:66" ht="15" customHeight="1" x14ac:dyDescent="0.15">
      <c r="A42" s="44"/>
      <c r="B42" s="2" t="s">
        <v>813</v>
      </c>
      <c r="C42" s="1">
        <v>14226</v>
      </c>
      <c r="D42" s="1">
        <v>14</v>
      </c>
      <c r="E42" s="70">
        <f t="shared" si="4"/>
        <v>638.14220745576063</v>
      </c>
      <c r="F42" s="57"/>
      <c r="G42" s="1">
        <v>12</v>
      </c>
      <c r="H42" s="1" t="s">
        <v>300</v>
      </c>
      <c r="I42" s="50">
        <f t="shared" si="3"/>
        <v>5480.9312517840408</v>
      </c>
      <c r="J42" s="1"/>
      <c r="K42" s="1"/>
      <c r="L42" s="1">
        <f t="shared" si="5"/>
        <v>2200</v>
      </c>
      <c r="M42" s="1">
        <f t="shared" si="6"/>
        <v>3000</v>
      </c>
      <c r="N42" s="1"/>
      <c r="O42" s="1"/>
      <c r="T42" s="17" t="s">
        <v>40</v>
      </c>
      <c r="AV42" s="44" t="s">
        <v>2031</v>
      </c>
      <c r="AW42" s="2" t="str">
        <f>VLOOKUP("C01",trad_termini,ID_lingua,FALSE)</f>
        <v>R</v>
      </c>
      <c r="BB42" s="1" t="s">
        <v>1676</v>
      </c>
      <c r="BC42" s="68">
        <v>45</v>
      </c>
      <c r="BD42" s="1" t="s">
        <v>40</v>
      </c>
      <c r="BE42" s="1" t="s">
        <v>40</v>
      </c>
      <c r="BF42" s="1" t="s">
        <v>40</v>
      </c>
      <c r="BG42" s="1" t="s">
        <v>40</v>
      </c>
      <c r="BH42" s="1">
        <v>40</v>
      </c>
      <c r="BI42" s="1">
        <v>157</v>
      </c>
    </row>
    <row r="43" spans="1:66" ht="15" customHeight="1" x14ac:dyDescent="0.15">
      <c r="A43" s="44"/>
      <c r="B43" s="17" t="s">
        <v>40</v>
      </c>
      <c r="C43" s="17" t="s">
        <v>40</v>
      </c>
      <c r="D43" s="17" t="s">
        <v>40</v>
      </c>
      <c r="E43" s="17" t="s">
        <v>40</v>
      </c>
      <c r="F43" s="17" t="s">
        <v>40</v>
      </c>
      <c r="G43" s="17" t="s">
        <v>40</v>
      </c>
      <c r="H43" s="17" t="s">
        <v>40</v>
      </c>
      <c r="I43" s="17" t="s">
        <v>40</v>
      </c>
      <c r="J43" s="17" t="s">
        <v>40</v>
      </c>
      <c r="K43" s="17" t="s">
        <v>40</v>
      </c>
      <c r="L43" s="17" t="s">
        <v>40</v>
      </c>
      <c r="M43" s="17" t="s">
        <v>40</v>
      </c>
      <c r="N43" s="17" t="s">
        <v>40</v>
      </c>
      <c r="O43" s="17" t="s">
        <v>40</v>
      </c>
      <c r="P43" s="17" t="s">
        <v>40</v>
      </c>
      <c r="Q43" s="17" t="s">
        <v>40</v>
      </c>
      <c r="R43" s="17" t="s">
        <v>40</v>
      </c>
      <c r="S43" s="17" t="s">
        <v>40</v>
      </c>
      <c r="T43" s="17" t="s">
        <v>40</v>
      </c>
      <c r="AW43" s="2" t="str">
        <f>VLOOKUP("C02",trad_termini,ID_lingua,FALSE)</f>
        <v>L</v>
      </c>
      <c r="BB43" s="1" t="s">
        <v>40</v>
      </c>
      <c r="BC43" s="68" t="s">
        <v>40</v>
      </c>
      <c r="BD43" s="1" t="s">
        <v>40</v>
      </c>
      <c r="BE43" s="1" t="s">
        <v>40</v>
      </c>
      <c r="BF43" s="1" t="s">
        <v>40</v>
      </c>
      <c r="BG43" s="1" t="s">
        <v>40</v>
      </c>
      <c r="BH43" s="1" t="s">
        <v>40</v>
      </c>
      <c r="BI43" s="1" t="s">
        <v>40</v>
      </c>
    </row>
    <row r="44" spans="1:66" ht="15" customHeight="1" x14ac:dyDescent="0.15">
      <c r="A44" s="44"/>
      <c r="AW44" s="2" t="str">
        <f>VLOOKUP("C03",trad_termini,ID_lingua,FALSE)</f>
        <v>R + L</v>
      </c>
      <c r="BB44" s="1" t="s">
        <v>1703</v>
      </c>
      <c r="BC44" s="68" t="s">
        <v>1705</v>
      </c>
      <c r="BD44" s="1" t="s">
        <v>40</v>
      </c>
      <c r="BE44" s="1" t="s">
        <v>40</v>
      </c>
      <c r="BF44" s="1" t="s">
        <v>40</v>
      </c>
      <c r="BG44" s="1" t="s">
        <v>40</v>
      </c>
      <c r="BH44" s="1">
        <v>25</v>
      </c>
      <c r="BI44" s="1">
        <v>97</v>
      </c>
    </row>
    <row r="45" spans="1:66" ht="15" customHeight="1" x14ac:dyDescent="0.15">
      <c r="A45" s="44"/>
      <c r="AW45" s="16" t="s">
        <v>40</v>
      </c>
      <c r="BG45" s="1" t="s">
        <v>1704</v>
      </c>
      <c r="BH45" s="68" t="s">
        <v>1706</v>
      </c>
      <c r="BI45" s="1" t="s">
        <v>40</v>
      </c>
      <c r="BJ45" s="1" t="s">
        <v>40</v>
      </c>
      <c r="BK45" s="1" t="s">
        <v>40</v>
      </c>
      <c r="BL45" s="1" t="s">
        <v>40</v>
      </c>
      <c r="BM45" s="1">
        <v>25</v>
      </c>
      <c r="BN45" s="1">
        <v>107</v>
      </c>
    </row>
    <row r="46" spans="1:66" ht="15" customHeight="1" x14ac:dyDescent="0.15">
      <c r="A46" s="44"/>
      <c r="AF46" s="2" t="s">
        <v>788</v>
      </c>
      <c r="BG46" s="17" t="s">
        <v>40</v>
      </c>
      <c r="BH46" s="17" t="s">
        <v>40</v>
      </c>
      <c r="BI46" s="17" t="s">
        <v>40</v>
      </c>
      <c r="BJ46" s="17" t="s">
        <v>40</v>
      </c>
      <c r="BK46" s="17" t="s">
        <v>40</v>
      </c>
      <c r="BL46" s="17" t="s">
        <v>40</v>
      </c>
      <c r="BM46" s="17" t="s">
        <v>40</v>
      </c>
      <c r="BN46" s="17" t="s">
        <v>40</v>
      </c>
    </row>
    <row r="47" spans="1:66" ht="15" customHeight="1" x14ac:dyDescent="0.15">
      <c r="A47" s="44"/>
      <c r="B47" s="2" t="s">
        <v>248</v>
      </c>
      <c r="C47" s="12">
        <v>2</v>
      </c>
      <c r="D47" s="12">
        <v>3</v>
      </c>
      <c r="E47" s="12">
        <v>4</v>
      </c>
      <c r="F47" s="12">
        <v>5</v>
      </c>
      <c r="G47" s="12">
        <v>6</v>
      </c>
      <c r="H47" s="12">
        <v>7</v>
      </c>
      <c r="I47" s="12">
        <v>8</v>
      </c>
      <c r="J47" s="12">
        <v>9</v>
      </c>
      <c r="K47" s="12">
        <v>10</v>
      </c>
      <c r="L47" s="12">
        <v>11</v>
      </c>
      <c r="M47" s="12">
        <v>12</v>
      </c>
      <c r="N47" s="12">
        <v>13</v>
      </c>
      <c r="O47" s="12">
        <v>14</v>
      </c>
      <c r="P47" s="12">
        <v>15</v>
      </c>
      <c r="Q47" s="12">
        <v>16</v>
      </c>
      <c r="R47" s="12">
        <v>17</v>
      </c>
      <c r="S47" s="12">
        <v>18</v>
      </c>
      <c r="T47" s="12">
        <v>19</v>
      </c>
      <c r="U47" s="12">
        <v>20</v>
      </c>
      <c r="V47" s="12">
        <v>21</v>
      </c>
      <c r="W47" s="12">
        <v>22</v>
      </c>
      <c r="X47" s="12">
        <v>23</v>
      </c>
      <c r="Y47" s="12">
        <v>24</v>
      </c>
      <c r="Z47" s="12">
        <v>25</v>
      </c>
      <c r="AA47" s="12">
        <v>26</v>
      </c>
      <c r="AB47" s="12">
        <v>27</v>
      </c>
      <c r="AG47" s="44" t="s">
        <v>789</v>
      </c>
      <c r="AH47" s="44" t="s">
        <v>791</v>
      </c>
    </row>
    <row r="48" spans="1:66" ht="15" customHeight="1" x14ac:dyDescent="0.15">
      <c r="A48" s="44"/>
      <c r="D48" s="1" t="s">
        <v>297</v>
      </c>
      <c r="F48" s="1" t="s">
        <v>298</v>
      </c>
      <c r="G48" s="279" t="s">
        <v>299</v>
      </c>
      <c r="H48" s="279"/>
      <c r="I48" s="1" t="s">
        <v>1207</v>
      </c>
      <c r="J48" s="1" t="s">
        <v>1728</v>
      </c>
      <c r="K48" s="1" t="s">
        <v>190</v>
      </c>
      <c r="L48" s="278" t="s">
        <v>1732</v>
      </c>
      <c r="M48" s="278"/>
      <c r="N48" s="1" t="s">
        <v>515</v>
      </c>
      <c r="O48" s="1" t="s">
        <v>722</v>
      </c>
      <c r="P48" s="279" t="s">
        <v>1246</v>
      </c>
      <c r="Q48" s="279"/>
      <c r="R48" s="279" t="s">
        <v>1247</v>
      </c>
      <c r="S48" s="279"/>
      <c r="T48" s="1" t="s">
        <v>509</v>
      </c>
      <c r="U48" s="1" t="s">
        <v>509</v>
      </c>
      <c r="V48" s="1" t="s">
        <v>1668</v>
      </c>
      <c r="W48" s="1" t="s">
        <v>495</v>
      </c>
      <c r="X48" s="1" t="s">
        <v>1729</v>
      </c>
      <c r="Y48" s="278" t="s">
        <v>1733</v>
      </c>
      <c r="Z48" s="278"/>
      <c r="AA48" s="1"/>
      <c r="AB48" s="1"/>
      <c r="AG48" s="12">
        <v>1</v>
      </c>
      <c r="AH48" s="12">
        <v>2</v>
      </c>
      <c r="AI48" s="12">
        <v>3</v>
      </c>
      <c r="AJ48" s="12">
        <v>4</v>
      </c>
      <c r="AK48" s="12">
        <v>5</v>
      </c>
    </row>
    <row r="49" spans="1:49" ht="15" customHeight="1" x14ac:dyDescent="0.15">
      <c r="A49" s="44"/>
      <c r="B49" s="2" t="s">
        <v>7</v>
      </c>
      <c r="C49" s="1" t="s">
        <v>291</v>
      </c>
      <c r="D49" s="1" t="s">
        <v>181</v>
      </c>
      <c r="E49" s="1" t="s">
        <v>301</v>
      </c>
      <c r="F49" s="1" t="s">
        <v>23</v>
      </c>
      <c r="G49" s="1" t="s">
        <v>103</v>
      </c>
      <c r="H49" s="1" t="s">
        <v>184</v>
      </c>
      <c r="I49" s="1" t="s">
        <v>197</v>
      </c>
      <c r="J49" s="1" t="s">
        <v>197</v>
      </c>
      <c r="K49" s="1" t="s">
        <v>60</v>
      </c>
      <c r="L49" s="1" t="s">
        <v>23</v>
      </c>
      <c r="M49" s="1" t="s">
        <v>447</v>
      </c>
      <c r="N49" s="1" t="s">
        <v>197</v>
      </c>
      <c r="O49" s="1" t="s">
        <v>197</v>
      </c>
      <c r="P49" s="1" t="s">
        <v>184</v>
      </c>
      <c r="Q49" s="1" t="s">
        <v>23</v>
      </c>
      <c r="R49" s="1" t="s">
        <v>184</v>
      </c>
      <c r="S49" s="1" t="s">
        <v>23</v>
      </c>
      <c r="T49" s="1" t="s">
        <v>101</v>
      </c>
      <c r="U49" s="1" t="s">
        <v>184</v>
      </c>
      <c r="V49" s="1" t="s">
        <v>1669</v>
      </c>
      <c r="W49" s="1" t="s">
        <v>1720</v>
      </c>
      <c r="X49" s="1" t="s">
        <v>197</v>
      </c>
      <c r="Y49" s="1" t="s">
        <v>23</v>
      </c>
      <c r="Z49" s="1" t="s">
        <v>447</v>
      </c>
      <c r="AA49" s="1"/>
      <c r="AB49" s="1"/>
      <c r="AG49" s="1" t="s">
        <v>790</v>
      </c>
      <c r="AH49" s="1" t="s">
        <v>785</v>
      </c>
      <c r="AI49" s="1" t="s">
        <v>786</v>
      </c>
      <c r="AJ49" s="1" t="s">
        <v>780</v>
      </c>
      <c r="AK49" s="1" t="s">
        <v>787</v>
      </c>
      <c r="AL49" s="1"/>
      <c r="AV49" s="44" t="s">
        <v>1596</v>
      </c>
      <c r="AW49" s="2" t="str">
        <f>VLOOKUP("D01",trad_termini,ID_lingua,FALSE)</f>
        <v>YES</v>
      </c>
    </row>
    <row r="50" spans="1:49" ht="15" customHeight="1" x14ac:dyDescent="0.15">
      <c r="A50" s="44" t="s">
        <v>640</v>
      </c>
      <c r="B50" s="2" t="s">
        <v>814</v>
      </c>
      <c r="C50" s="1">
        <v>14226</v>
      </c>
      <c r="D50" s="1">
        <v>10</v>
      </c>
      <c r="E50" s="70">
        <f>VALUE(LEFT(C50,3))/SIN(PI()/D50)</f>
        <v>459.52165280497019</v>
      </c>
      <c r="F50" s="1" t="s">
        <v>1196</v>
      </c>
      <c r="G50" s="1">
        <v>6</v>
      </c>
      <c r="H50" s="1" t="s">
        <v>1194</v>
      </c>
      <c r="I50" s="50">
        <f t="shared" ref="I50:I57" si="7">2*N50+(E50/2+hm_cat)*PI()</f>
        <v>2750.3547406485118</v>
      </c>
      <c r="J50" s="1">
        <v>70</v>
      </c>
      <c r="K50" s="1">
        <v>70</v>
      </c>
      <c r="L50" s="1" t="s">
        <v>1200</v>
      </c>
      <c r="M50" s="1" t="s">
        <v>1240</v>
      </c>
      <c r="N50" s="1">
        <f>765+210</f>
        <v>975</v>
      </c>
      <c r="O50" s="1">
        <v>1500</v>
      </c>
      <c r="P50" s="1" t="s">
        <v>656</v>
      </c>
      <c r="Q50" s="1" t="s">
        <v>2075</v>
      </c>
      <c r="R50" s="1" t="s">
        <v>1248</v>
      </c>
      <c r="S50" s="1" t="s">
        <v>2074</v>
      </c>
      <c r="T50" s="1">
        <v>88</v>
      </c>
      <c r="U50" s="1" t="s">
        <v>2076</v>
      </c>
      <c r="V50" s="1">
        <v>4.5999999999999996</v>
      </c>
      <c r="W50" s="1" t="s">
        <v>1721</v>
      </c>
      <c r="X50" s="1">
        <v>80</v>
      </c>
      <c r="Y50" s="1" t="s">
        <v>1734</v>
      </c>
      <c r="Z50" s="1" t="s">
        <v>1742</v>
      </c>
      <c r="AA50" s="1"/>
      <c r="AB50" s="1"/>
      <c r="AC50" s="17" t="s">
        <v>814</v>
      </c>
      <c r="AG50" s="56" t="str">
        <f>IF(D_max_spina&lt;=AH50,"&gt;","")</f>
        <v/>
      </c>
      <c r="AH50" s="1">
        <v>20</v>
      </c>
      <c r="AI50" s="1" t="s">
        <v>781</v>
      </c>
      <c r="AJ50" s="1">
        <v>24</v>
      </c>
      <c r="AK50" s="1">
        <v>110</v>
      </c>
      <c r="AL50" s="16"/>
      <c r="AW50" s="2" t="str">
        <f>VLOOKUP("D02",trad_termini,ID_lingua,FALSE)</f>
        <v>NO</v>
      </c>
    </row>
    <row r="51" spans="1:49" ht="15" customHeight="1" x14ac:dyDescent="0.15">
      <c r="A51" s="44"/>
      <c r="B51" s="2" t="s">
        <v>815</v>
      </c>
      <c r="C51" s="1">
        <v>14226</v>
      </c>
      <c r="D51" s="1">
        <v>10</v>
      </c>
      <c r="E51" s="70">
        <f t="shared" ref="E51:E57" si="8">VALUE(LEFT(C51,3))/SIN(PI()/D51)</f>
        <v>459.52165280497019</v>
      </c>
      <c r="F51" s="1" t="s">
        <v>1196</v>
      </c>
      <c r="G51" s="1">
        <v>6</v>
      </c>
      <c r="H51" s="1" t="s">
        <v>1194</v>
      </c>
      <c r="I51" s="50">
        <f t="shared" si="7"/>
        <v>2750.3547406485118</v>
      </c>
      <c r="J51" s="1">
        <v>70</v>
      </c>
      <c r="K51" s="1">
        <v>70</v>
      </c>
      <c r="L51" s="1" t="s">
        <v>1201</v>
      </c>
      <c r="M51" s="1" t="s">
        <v>1240</v>
      </c>
      <c r="N51" s="1">
        <f t="shared" ref="N51:N52" si="9">765+210</f>
        <v>975</v>
      </c>
      <c r="O51" s="1">
        <v>1500</v>
      </c>
      <c r="P51" s="1" t="s">
        <v>656</v>
      </c>
      <c r="Q51" s="1" t="s">
        <v>2075</v>
      </c>
      <c r="R51" s="1" t="s">
        <v>1248</v>
      </c>
      <c r="S51" s="1" t="s">
        <v>2074</v>
      </c>
      <c r="T51" s="1">
        <v>88</v>
      </c>
      <c r="U51" s="1" t="s">
        <v>2076</v>
      </c>
      <c r="V51" s="1">
        <v>4.5999999999999996</v>
      </c>
      <c r="W51" s="1" t="s">
        <v>1721</v>
      </c>
      <c r="X51" s="1">
        <v>80</v>
      </c>
      <c r="Y51" s="1" t="s">
        <v>1735</v>
      </c>
      <c r="Z51" s="1" t="s">
        <v>1742</v>
      </c>
      <c r="AA51" s="1"/>
      <c r="AB51" s="1"/>
      <c r="AC51" s="17" t="s">
        <v>815</v>
      </c>
      <c r="AG51" s="56" t="str">
        <f>IF(AND(D_max_spina&gt;AH50,D_max_spina&lt;=AH51),"&gt;","")</f>
        <v/>
      </c>
      <c r="AH51" s="1">
        <v>26</v>
      </c>
      <c r="AI51" s="1" t="s">
        <v>782</v>
      </c>
      <c r="AJ51" s="1">
        <v>30</v>
      </c>
      <c r="AK51" s="1">
        <v>110</v>
      </c>
      <c r="AL51" s="16"/>
      <c r="AW51" s="16" t="s">
        <v>40</v>
      </c>
    </row>
    <row r="52" spans="1:49" ht="15" customHeight="1" x14ac:dyDescent="0.15">
      <c r="A52" s="44"/>
      <c r="B52" s="8" t="s">
        <v>816</v>
      </c>
      <c r="C52" s="7">
        <v>14226</v>
      </c>
      <c r="D52" s="7">
        <v>10</v>
      </c>
      <c r="E52" s="39">
        <f t="shared" si="8"/>
        <v>459.52165280497019</v>
      </c>
      <c r="F52" s="7" t="s">
        <v>1196</v>
      </c>
      <c r="G52" s="7">
        <v>6</v>
      </c>
      <c r="H52" s="7" t="s">
        <v>1194</v>
      </c>
      <c r="I52" s="49">
        <f t="shared" si="7"/>
        <v>2750.3547406485118</v>
      </c>
      <c r="J52" s="7">
        <v>70</v>
      </c>
      <c r="K52" s="7">
        <v>70</v>
      </c>
      <c r="L52" s="7" t="s">
        <v>1199</v>
      </c>
      <c r="M52" s="7" t="s">
        <v>1240</v>
      </c>
      <c r="N52" s="7">
        <f t="shared" si="9"/>
        <v>975</v>
      </c>
      <c r="O52" s="7">
        <v>1500</v>
      </c>
      <c r="P52" s="7" t="s">
        <v>656</v>
      </c>
      <c r="Q52" s="7" t="s">
        <v>2075</v>
      </c>
      <c r="R52" s="7" t="s">
        <v>1248</v>
      </c>
      <c r="S52" s="7" t="s">
        <v>2074</v>
      </c>
      <c r="T52" s="7">
        <v>88</v>
      </c>
      <c r="U52" s="7" t="s">
        <v>2076</v>
      </c>
      <c r="V52" s="7">
        <v>4.5999999999999996</v>
      </c>
      <c r="W52" s="7" t="s">
        <v>1721</v>
      </c>
      <c r="X52" s="7">
        <v>80</v>
      </c>
      <c r="Y52" s="7" t="s">
        <v>1736</v>
      </c>
      <c r="Z52" s="7" t="s">
        <v>1742</v>
      </c>
      <c r="AA52" s="7"/>
      <c r="AB52" s="7"/>
      <c r="AC52" s="182" t="s">
        <v>816</v>
      </c>
      <c r="AG52" s="56" t="str">
        <f>IF(AND(D_max_spina&gt;AH51,D_max_spina&lt;=AH52),"&gt;","")</f>
        <v/>
      </c>
      <c r="AH52" s="1">
        <v>32</v>
      </c>
      <c r="AI52" s="1" t="s">
        <v>783</v>
      </c>
      <c r="AJ52" s="1">
        <v>36</v>
      </c>
      <c r="AK52" s="1">
        <v>130</v>
      </c>
      <c r="AL52" s="16"/>
    </row>
    <row r="53" spans="1:49" ht="15" customHeight="1" x14ac:dyDescent="0.15">
      <c r="A53" s="44"/>
      <c r="B53" s="2" t="s">
        <v>817</v>
      </c>
      <c r="C53" s="1">
        <v>14226</v>
      </c>
      <c r="D53" s="1">
        <v>12</v>
      </c>
      <c r="E53" s="70">
        <f t="shared" si="8"/>
        <v>548.64586933219084</v>
      </c>
      <c r="F53" s="1" t="s">
        <v>1197</v>
      </c>
      <c r="G53" s="1">
        <v>8</v>
      </c>
      <c r="H53" s="1" t="s">
        <v>1725</v>
      </c>
      <c r="I53" s="50">
        <f t="shared" si="7"/>
        <v>3240.3507325979431</v>
      </c>
      <c r="J53" s="1">
        <v>90</v>
      </c>
      <c r="K53" s="1">
        <v>90</v>
      </c>
      <c r="L53" s="1" t="s">
        <v>1202</v>
      </c>
      <c r="M53" s="1" t="s">
        <v>1241</v>
      </c>
      <c r="N53" s="1">
        <f>940+210</f>
        <v>1150</v>
      </c>
      <c r="O53" s="1">
        <v>1800</v>
      </c>
      <c r="P53" s="1" t="s">
        <v>656</v>
      </c>
      <c r="Q53" s="1" t="s">
        <v>2075</v>
      </c>
      <c r="R53" s="1" t="s">
        <v>1248</v>
      </c>
      <c r="S53" s="1" t="s">
        <v>2074</v>
      </c>
      <c r="T53" s="1">
        <v>88</v>
      </c>
      <c r="U53" s="1" t="s">
        <v>2076</v>
      </c>
      <c r="V53" s="1">
        <v>5.52</v>
      </c>
      <c r="W53" s="1" t="s">
        <v>1722</v>
      </c>
      <c r="X53" s="1">
        <v>100</v>
      </c>
      <c r="Y53" s="1" t="s">
        <v>1737</v>
      </c>
      <c r="Z53" s="1" t="s">
        <v>1245</v>
      </c>
      <c r="AA53" s="1"/>
      <c r="AB53" s="1"/>
      <c r="AC53" s="17" t="s">
        <v>817</v>
      </c>
      <c r="AG53" s="56" t="str">
        <f>IF(AND(D_max_spina&gt;AH52,D_max_spina&lt;=AH53),"&gt;","")</f>
        <v/>
      </c>
      <c r="AH53" s="1">
        <v>36</v>
      </c>
      <c r="AI53" s="1" t="s">
        <v>784</v>
      </c>
      <c r="AJ53" s="1">
        <v>42</v>
      </c>
      <c r="AK53" s="1">
        <v>130</v>
      </c>
      <c r="AL53" s="16"/>
    </row>
    <row r="54" spans="1:49" ht="15" customHeight="1" x14ac:dyDescent="0.15">
      <c r="A54" s="44"/>
      <c r="B54" s="8" t="s">
        <v>818</v>
      </c>
      <c r="C54" s="7">
        <v>14226</v>
      </c>
      <c r="D54" s="7">
        <v>12</v>
      </c>
      <c r="E54" s="39">
        <f t="shared" si="8"/>
        <v>548.64586933219084</v>
      </c>
      <c r="F54" s="7" t="s">
        <v>1197</v>
      </c>
      <c r="G54" s="7">
        <v>8</v>
      </c>
      <c r="H54" s="7" t="s">
        <v>1725</v>
      </c>
      <c r="I54" s="49">
        <f t="shared" si="7"/>
        <v>3240.3507325979431</v>
      </c>
      <c r="J54" s="7">
        <v>90</v>
      </c>
      <c r="K54" s="7">
        <v>90</v>
      </c>
      <c r="L54" s="7" t="s">
        <v>1203</v>
      </c>
      <c r="M54" s="7" t="s">
        <v>1241</v>
      </c>
      <c r="N54" s="7">
        <f>940+210</f>
        <v>1150</v>
      </c>
      <c r="O54" s="7">
        <v>1800</v>
      </c>
      <c r="P54" s="7" t="s">
        <v>656</v>
      </c>
      <c r="Q54" s="7" t="s">
        <v>2075</v>
      </c>
      <c r="R54" s="7" t="s">
        <v>1248</v>
      </c>
      <c r="S54" s="7" t="s">
        <v>2074</v>
      </c>
      <c r="T54" s="7">
        <v>88</v>
      </c>
      <c r="U54" s="7" t="s">
        <v>2076</v>
      </c>
      <c r="V54" s="7">
        <v>5.52</v>
      </c>
      <c r="W54" s="7" t="s">
        <v>1722</v>
      </c>
      <c r="X54" s="7">
        <v>100</v>
      </c>
      <c r="Y54" s="7" t="s">
        <v>1738</v>
      </c>
      <c r="Z54" s="7" t="s">
        <v>1245</v>
      </c>
      <c r="AA54" s="7"/>
      <c r="AB54" s="7"/>
      <c r="AC54" s="182" t="s">
        <v>818</v>
      </c>
      <c r="AG54" s="18"/>
      <c r="AH54" s="16"/>
      <c r="AI54" s="16"/>
      <c r="AJ54" s="16"/>
      <c r="AK54" s="16"/>
      <c r="AL54" s="16"/>
      <c r="AV54" s="44" t="s">
        <v>2032</v>
      </c>
      <c r="AW54" s="2" t="str">
        <f>VLOOKUP("E01",trad_termini,ID_lingua,FALSE)</f>
        <v>TRASMEC</v>
      </c>
    </row>
    <row r="55" spans="1:49" ht="15" customHeight="1" x14ac:dyDescent="0.15">
      <c r="A55" s="44"/>
      <c r="B55" s="2" t="s">
        <v>811</v>
      </c>
      <c r="C55" s="1">
        <v>14226</v>
      </c>
      <c r="D55" s="1">
        <v>14</v>
      </c>
      <c r="E55" s="70">
        <f t="shared" si="8"/>
        <v>638.14220745576063</v>
      </c>
      <c r="F55" s="1" t="s">
        <v>1198</v>
      </c>
      <c r="G55" s="1">
        <v>8</v>
      </c>
      <c r="H55" s="1" t="s">
        <v>1194</v>
      </c>
      <c r="I55" s="50">
        <f t="shared" si="7"/>
        <v>3500.9312517840408</v>
      </c>
      <c r="J55" s="1">
        <v>90</v>
      </c>
      <c r="K55" s="1">
        <v>90</v>
      </c>
      <c r="L55" s="1" t="s">
        <v>1205</v>
      </c>
      <c r="M55" s="1" t="s">
        <v>1241</v>
      </c>
      <c r="N55" s="1">
        <f>1000+210</f>
        <v>1210</v>
      </c>
      <c r="O55" s="1">
        <v>2000</v>
      </c>
      <c r="P55" s="1" t="s">
        <v>656</v>
      </c>
      <c r="Q55" s="1" t="s">
        <v>2075</v>
      </c>
      <c r="R55" s="1" t="s">
        <v>1248</v>
      </c>
      <c r="S55" s="1" t="s">
        <v>2074</v>
      </c>
      <c r="T55" s="1">
        <v>88</v>
      </c>
      <c r="U55" s="1" t="s">
        <v>2076</v>
      </c>
      <c r="V55" s="1">
        <v>5.44</v>
      </c>
      <c r="W55" s="1" t="s">
        <v>1722</v>
      </c>
      <c r="X55" s="1">
        <v>100</v>
      </c>
      <c r="Y55" s="1" t="s">
        <v>1739</v>
      </c>
      <c r="Z55" s="1" t="s">
        <v>1245</v>
      </c>
      <c r="AA55" s="1"/>
      <c r="AB55" s="1"/>
      <c r="AC55" s="17" t="s">
        <v>811</v>
      </c>
      <c r="AW55" s="2" t="str">
        <f>VLOOKUP("E02",trad_termini,ID_lingua,FALSE)</f>
        <v>Customer</v>
      </c>
    </row>
    <row r="56" spans="1:49" ht="15" customHeight="1" x14ac:dyDescent="0.15">
      <c r="A56" s="44"/>
      <c r="B56" s="2" t="s">
        <v>812</v>
      </c>
      <c r="C56" s="1">
        <v>14226</v>
      </c>
      <c r="D56" s="1">
        <v>14</v>
      </c>
      <c r="E56" s="70">
        <f t="shared" si="8"/>
        <v>638.14220745576063</v>
      </c>
      <c r="F56" s="1" t="s">
        <v>1198</v>
      </c>
      <c r="G56" s="1">
        <v>8</v>
      </c>
      <c r="H56" s="1" t="s">
        <v>1194</v>
      </c>
      <c r="I56" s="50">
        <f t="shared" si="7"/>
        <v>3500.9312517840408</v>
      </c>
      <c r="J56" s="1">
        <v>90</v>
      </c>
      <c r="K56" s="1">
        <v>90</v>
      </c>
      <c r="L56" s="1" t="s">
        <v>1206</v>
      </c>
      <c r="M56" s="1" t="s">
        <v>1241</v>
      </c>
      <c r="N56" s="1">
        <f t="shared" ref="N56:N57" si="10">1000+210</f>
        <v>1210</v>
      </c>
      <c r="O56" s="1">
        <v>2000</v>
      </c>
      <c r="P56" s="1" t="s">
        <v>656</v>
      </c>
      <c r="Q56" s="1" t="s">
        <v>2075</v>
      </c>
      <c r="R56" s="1" t="s">
        <v>1248</v>
      </c>
      <c r="S56" s="1" t="s">
        <v>2074</v>
      </c>
      <c r="T56" s="1">
        <v>88</v>
      </c>
      <c r="U56" s="1" t="s">
        <v>2076</v>
      </c>
      <c r="V56" s="1">
        <v>5.44</v>
      </c>
      <c r="W56" s="1" t="s">
        <v>1722</v>
      </c>
      <c r="X56" s="1">
        <v>100</v>
      </c>
      <c r="Y56" s="1" t="s">
        <v>1740</v>
      </c>
      <c r="Z56" s="1" t="s">
        <v>1245</v>
      </c>
      <c r="AA56" s="1"/>
      <c r="AB56" s="1"/>
      <c r="AC56" s="17" t="s">
        <v>812</v>
      </c>
      <c r="AW56" s="16" t="s">
        <v>40</v>
      </c>
    </row>
    <row r="57" spans="1:49" ht="15" customHeight="1" x14ac:dyDescent="0.15">
      <c r="A57" s="44"/>
      <c r="B57" s="2" t="s">
        <v>813</v>
      </c>
      <c r="C57" s="1">
        <v>14226</v>
      </c>
      <c r="D57" s="1">
        <v>14</v>
      </c>
      <c r="E57" s="70">
        <f t="shared" si="8"/>
        <v>638.14220745576063</v>
      </c>
      <c r="F57" s="1" t="s">
        <v>1198</v>
      </c>
      <c r="G57" s="1">
        <v>8</v>
      </c>
      <c r="H57" s="1" t="s">
        <v>1194</v>
      </c>
      <c r="I57" s="50">
        <f t="shared" si="7"/>
        <v>3500.9312517840408</v>
      </c>
      <c r="J57" s="1">
        <v>90</v>
      </c>
      <c r="K57" s="1">
        <v>90</v>
      </c>
      <c r="L57" s="1" t="s">
        <v>1204</v>
      </c>
      <c r="M57" s="1" t="s">
        <v>1241</v>
      </c>
      <c r="N57" s="1">
        <f t="shared" si="10"/>
        <v>1210</v>
      </c>
      <c r="O57" s="1">
        <v>2000</v>
      </c>
      <c r="P57" s="1" t="s">
        <v>656</v>
      </c>
      <c r="Q57" s="1" t="s">
        <v>2075</v>
      </c>
      <c r="R57" s="1" t="s">
        <v>1248</v>
      </c>
      <c r="S57" s="1" t="s">
        <v>2074</v>
      </c>
      <c r="T57" s="1">
        <v>88</v>
      </c>
      <c r="U57" s="1" t="s">
        <v>2076</v>
      </c>
      <c r="V57" s="1">
        <v>5.44</v>
      </c>
      <c r="W57" s="1" t="s">
        <v>1722</v>
      </c>
      <c r="X57" s="1">
        <v>100</v>
      </c>
      <c r="Y57" s="1" t="s">
        <v>1741</v>
      </c>
      <c r="Z57" s="1" t="s">
        <v>1245</v>
      </c>
      <c r="AA57" s="1"/>
      <c r="AB57" s="1"/>
      <c r="AC57" s="17" t="s">
        <v>813</v>
      </c>
    </row>
    <row r="58" spans="1:49" ht="15" customHeight="1" x14ac:dyDescent="0.15">
      <c r="A58" s="44"/>
      <c r="B58" s="17" t="s">
        <v>40</v>
      </c>
      <c r="C58" s="17" t="s">
        <v>40</v>
      </c>
      <c r="D58" s="17" t="s">
        <v>40</v>
      </c>
      <c r="E58" s="17" t="s">
        <v>40</v>
      </c>
      <c r="F58" s="17" t="s">
        <v>40</v>
      </c>
      <c r="G58" s="17" t="s">
        <v>40</v>
      </c>
      <c r="H58" s="17" t="s">
        <v>40</v>
      </c>
      <c r="I58" s="17" t="s">
        <v>40</v>
      </c>
      <c r="J58" s="17" t="s">
        <v>40</v>
      </c>
      <c r="K58" s="17" t="s">
        <v>40</v>
      </c>
      <c r="L58" s="17" t="s">
        <v>40</v>
      </c>
      <c r="M58" s="17" t="s">
        <v>40</v>
      </c>
      <c r="N58" s="17" t="s">
        <v>40</v>
      </c>
      <c r="O58" s="17" t="s">
        <v>40</v>
      </c>
      <c r="P58" s="17" t="s">
        <v>40</v>
      </c>
      <c r="Q58" s="17"/>
      <c r="R58" s="17" t="s">
        <v>40</v>
      </c>
      <c r="S58" s="17"/>
      <c r="T58" s="17" t="s">
        <v>40</v>
      </c>
      <c r="U58" s="17" t="s">
        <v>40</v>
      </c>
      <c r="V58" s="17" t="s">
        <v>40</v>
      </c>
      <c r="W58" s="17" t="s">
        <v>40</v>
      </c>
      <c r="X58" s="17" t="s">
        <v>40</v>
      </c>
      <c r="Y58" s="17"/>
      <c r="Z58" s="17"/>
      <c r="AA58" s="17"/>
      <c r="AB58" s="17"/>
      <c r="AC58" s="17" t="s">
        <v>40</v>
      </c>
    </row>
    <row r="59" spans="1:49" ht="15" customHeight="1" x14ac:dyDescent="0.15">
      <c r="A59" s="44"/>
      <c r="AV59" s="44" t="s">
        <v>2033</v>
      </c>
      <c r="AW59" s="2" t="str">
        <f>VLOOKUP("F01",trad_termini,ID_lingua,FALSE)</f>
        <v>STANDARD</v>
      </c>
    </row>
    <row r="60" spans="1:49" ht="15" customHeight="1" x14ac:dyDescent="0.15">
      <c r="A60" s="44"/>
      <c r="AW60" s="2" t="str">
        <f>VLOOKUP("F02",trad_termini,ID_lingua,FALSE)</f>
        <v>FIXED</v>
      </c>
    </row>
    <row r="61" spans="1:49" ht="15" customHeight="1" x14ac:dyDescent="0.15">
      <c r="A61" s="44"/>
      <c r="AW61" s="16" t="s">
        <v>40</v>
      </c>
    </row>
    <row r="62" spans="1:49" ht="15" customHeight="1" x14ac:dyDescent="0.15">
      <c r="A62" s="44"/>
      <c r="B62" s="2" t="s">
        <v>244</v>
      </c>
      <c r="E62" s="2" t="s">
        <v>274</v>
      </c>
    </row>
    <row r="63" spans="1:49" ht="15" customHeight="1" x14ac:dyDescent="0.15">
      <c r="A63" s="44"/>
      <c r="E63" s="44" t="s">
        <v>739</v>
      </c>
    </row>
    <row r="64" spans="1:49" ht="15" customHeight="1" x14ac:dyDescent="0.15">
      <c r="A64" s="44" t="s">
        <v>738</v>
      </c>
      <c r="B64" s="2" t="str">
        <f>VLOOKUP("A01",trad_termini,ID_lingua,FALSE)</f>
        <v>Helical-Bevel Gearmotor</v>
      </c>
      <c r="C64" s="2">
        <v>1</v>
      </c>
      <c r="E64" s="53" t="s">
        <v>21</v>
      </c>
    </row>
    <row r="65" spans="1:30" ht="15" customHeight="1" x14ac:dyDescent="0.15">
      <c r="A65" s="44" t="s">
        <v>737</v>
      </c>
      <c r="B65" s="2" t="str">
        <f>VLOOKUP("A02",trad_termini,ID_lingua,FALSE)</f>
        <v>Chain Drive V</v>
      </c>
      <c r="C65" s="2">
        <v>2</v>
      </c>
      <c r="E65" s="53" t="s">
        <v>276</v>
      </c>
    </row>
    <row r="66" spans="1:30" ht="15" customHeight="1" x14ac:dyDescent="0.15">
      <c r="A66" s="44"/>
      <c r="B66" s="2" t="str">
        <f>VLOOKUP("A03",trad_termini,ID_lingua,FALSE)</f>
        <v>Chain Drive H</v>
      </c>
      <c r="C66" s="2">
        <v>3</v>
      </c>
      <c r="E66" s="53" t="s">
        <v>275</v>
      </c>
    </row>
    <row r="67" spans="1:30" ht="15" customHeight="1" x14ac:dyDescent="0.15">
      <c r="A67" s="44"/>
      <c r="B67" s="16" t="s">
        <v>40</v>
      </c>
      <c r="C67" s="16" t="s">
        <v>40</v>
      </c>
      <c r="E67" s="16" t="s">
        <v>40</v>
      </c>
    </row>
    <row r="68" spans="1:30" ht="15" customHeight="1" x14ac:dyDescent="0.15">
      <c r="A68" s="44"/>
    </row>
    <row r="69" spans="1:30" ht="15" customHeight="1" x14ac:dyDescent="0.15">
      <c r="A69" s="44"/>
      <c r="I69" s="44" t="s">
        <v>650</v>
      </c>
      <c r="M69" s="44" t="s">
        <v>651</v>
      </c>
    </row>
    <row r="70" spans="1:30" ht="15" customHeight="1" x14ac:dyDescent="0.15">
      <c r="A70" s="44"/>
      <c r="B70" s="2" t="s">
        <v>110</v>
      </c>
      <c r="F70" s="44" t="s">
        <v>729</v>
      </c>
      <c r="I70" s="2" t="s">
        <v>127</v>
      </c>
      <c r="M70" s="2" t="s">
        <v>138</v>
      </c>
      <c r="Q70" s="2" t="s">
        <v>202</v>
      </c>
      <c r="V70" s="2" t="s">
        <v>52</v>
      </c>
      <c r="AB70" s="2" t="s">
        <v>56</v>
      </c>
    </row>
    <row r="71" spans="1:30" ht="15" customHeight="1" x14ac:dyDescent="0.15">
      <c r="A71" s="44"/>
      <c r="B71" s="1" t="s">
        <v>111</v>
      </c>
      <c r="C71" s="1" t="s">
        <v>112</v>
      </c>
      <c r="D71" s="1" t="s">
        <v>238</v>
      </c>
      <c r="F71" s="1" t="s">
        <v>727</v>
      </c>
      <c r="G71" s="1" t="s">
        <v>725</v>
      </c>
      <c r="I71" s="1" t="s">
        <v>128</v>
      </c>
      <c r="J71" s="1" t="s">
        <v>129</v>
      </c>
      <c r="K71" s="1" t="s">
        <v>46</v>
      </c>
      <c r="M71" s="1" t="s">
        <v>139</v>
      </c>
      <c r="N71" s="1" t="s">
        <v>129</v>
      </c>
      <c r="O71" s="1" t="s">
        <v>140</v>
      </c>
      <c r="Q71" s="44" t="s">
        <v>652</v>
      </c>
      <c r="V71" s="44" t="s">
        <v>653</v>
      </c>
      <c r="AB71" s="44" t="s">
        <v>654</v>
      </c>
    </row>
    <row r="72" spans="1:30" ht="15" customHeight="1" x14ac:dyDescent="0.15">
      <c r="A72" s="44" t="s">
        <v>649</v>
      </c>
      <c r="B72" s="2" t="s">
        <v>113</v>
      </c>
      <c r="C72" s="1">
        <v>25.4</v>
      </c>
      <c r="D72" s="1"/>
      <c r="F72" s="1">
        <v>4</v>
      </c>
      <c r="G72" s="1" t="s">
        <v>116</v>
      </c>
      <c r="I72" s="1" t="s">
        <v>130</v>
      </c>
      <c r="J72" s="15" t="s">
        <v>131</v>
      </c>
      <c r="K72" s="15" t="str">
        <f>VLOOKUP(182,trad_termini,ID_lingua,FALSE)</f>
        <v>MINERAL</v>
      </c>
      <c r="M72" s="1" t="s">
        <v>767</v>
      </c>
      <c r="N72" s="15" t="s">
        <v>765</v>
      </c>
      <c r="O72" s="1" t="s">
        <v>40</v>
      </c>
      <c r="Q72" s="1" t="s">
        <v>191</v>
      </c>
      <c r="R72" s="1" t="s">
        <v>184</v>
      </c>
      <c r="S72" s="1"/>
      <c r="V72" s="2" t="s">
        <v>258</v>
      </c>
      <c r="W72" s="2">
        <v>1</v>
      </c>
      <c r="X72" s="2">
        <v>2</v>
      </c>
      <c r="Y72" s="2">
        <v>3</v>
      </c>
    </row>
    <row r="73" spans="1:30" ht="15" customHeight="1" x14ac:dyDescent="0.15">
      <c r="A73" s="44"/>
      <c r="B73" s="2" t="s">
        <v>114</v>
      </c>
      <c r="C73" s="1">
        <v>31.75</v>
      </c>
      <c r="D73" s="1"/>
      <c r="F73" s="1">
        <v>5.5</v>
      </c>
      <c r="G73" s="1" t="s">
        <v>116</v>
      </c>
      <c r="I73" s="1" t="s">
        <v>132</v>
      </c>
      <c r="J73" s="15" t="s">
        <v>133</v>
      </c>
      <c r="K73" s="15" t="str">
        <f>VLOOKUP(183,trad_termini,ID_lingua,FALSE)</f>
        <v>SYNTHETIC</v>
      </c>
      <c r="M73" s="1" t="s">
        <v>141</v>
      </c>
      <c r="N73" s="15" t="s">
        <v>142</v>
      </c>
      <c r="O73" s="1" t="s">
        <v>143</v>
      </c>
      <c r="Q73" s="1">
        <v>40</v>
      </c>
      <c r="R73" s="1" t="s">
        <v>203</v>
      </c>
      <c r="S73" s="17"/>
      <c r="X73" s="278" t="s">
        <v>54</v>
      </c>
      <c r="Y73" s="278"/>
    </row>
    <row r="74" spans="1:30" ht="15" customHeight="1" x14ac:dyDescent="0.15">
      <c r="A74" s="44"/>
      <c r="B74" s="2" t="s">
        <v>115</v>
      </c>
      <c r="C74" s="1">
        <v>38.099999999999994</v>
      </c>
      <c r="D74" s="1"/>
      <c r="F74" s="1">
        <v>7.5</v>
      </c>
      <c r="G74" s="1" t="s">
        <v>116</v>
      </c>
      <c r="I74" s="1" t="s">
        <v>134</v>
      </c>
      <c r="J74" s="15" t="s">
        <v>135</v>
      </c>
      <c r="K74" s="15" t="str">
        <f>VLOOKUP(183,trad_termini,ID_lingua,FALSE)</f>
        <v>SYNTHETIC</v>
      </c>
      <c r="M74" s="17" t="s">
        <v>40</v>
      </c>
      <c r="N74" s="17" t="s">
        <v>40</v>
      </c>
      <c r="O74" s="17" t="s">
        <v>40</v>
      </c>
      <c r="Q74" s="1">
        <v>45</v>
      </c>
      <c r="R74" s="1" t="s">
        <v>204</v>
      </c>
      <c r="S74" s="17"/>
      <c r="X74" s="1" t="s">
        <v>55</v>
      </c>
      <c r="Y74" s="1">
        <v>22</v>
      </c>
      <c r="Z74" s="1" t="s">
        <v>40</v>
      </c>
      <c r="AB74" s="2" t="s">
        <v>1601</v>
      </c>
      <c r="AC74" s="1" t="s">
        <v>57</v>
      </c>
      <c r="AD74" s="16"/>
    </row>
    <row r="75" spans="1:30" ht="15" customHeight="1" x14ac:dyDescent="0.15">
      <c r="A75" s="44"/>
      <c r="B75" s="2" t="s">
        <v>116</v>
      </c>
      <c r="C75" s="1">
        <v>44.449999999999996</v>
      </c>
      <c r="D75" s="1">
        <v>1</v>
      </c>
      <c r="F75" s="1">
        <v>9.1999999999999993</v>
      </c>
      <c r="G75" s="1" t="s">
        <v>116</v>
      </c>
      <c r="I75" s="1" t="s">
        <v>136</v>
      </c>
      <c r="J75" s="15" t="s">
        <v>137</v>
      </c>
      <c r="K75" s="15" t="str">
        <f>VLOOKUP(183,trad_termini,ID_lingua,FALSE)</f>
        <v>SYNTHETIC</v>
      </c>
      <c r="Q75" s="1">
        <v>50</v>
      </c>
      <c r="R75" s="1" t="s">
        <v>205</v>
      </c>
      <c r="S75" s="17"/>
      <c r="V75" s="280" t="s">
        <v>53</v>
      </c>
      <c r="W75" s="2">
        <v>22</v>
      </c>
      <c r="X75" s="1" t="s">
        <v>1601</v>
      </c>
      <c r="Y75" s="1" t="s">
        <v>1602</v>
      </c>
      <c r="Z75" s="17" t="s">
        <v>40</v>
      </c>
      <c r="AB75" s="2" t="s">
        <v>1603</v>
      </c>
      <c r="AC75" s="1" t="s">
        <v>58</v>
      </c>
      <c r="AD75" s="16"/>
    </row>
    <row r="76" spans="1:30" ht="15" customHeight="1" x14ac:dyDescent="0.15">
      <c r="A76" s="44"/>
      <c r="B76" s="2" t="s">
        <v>117</v>
      </c>
      <c r="C76" s="1">
        <v>50.8</v>
      </c>
      <c r="D76" s="1">
        <v>2</v>
      </c>
      <c r="F76" s="1">
        <v>11</v>
      </c>
      <c r="G76" s="1" t="s">
        <v>117</v>
      </c>
      <c r="I76" s="17" t="s">
        <v>40</v>
      </c>
      <c r="J76" s="17" t="s">
        <v>40</v>
      </c>
      <c r="K76" s="17" t="s">
        <v>40</v>
      </c>
      <c r="Q76" s="1">
        <v>55</v>
      </c>
      <c r="R76" s="1" t="s">
        <v>206</v>
      </c>
      <c r="S76" s="17"/>
      <c r="V76" s="280"/>
      <c r="W76" s="2">
        <v>21</v>
      </c>
      <c r="X76" s="1" t="s">
        <v>1603</v>
      </c>
      <c r="Y76" s="1" t="s">
        <v>1604</v>
      </c>
      <c r="Z76" s="17" t="s">
        <v>40</v>
      </c>
      <c r="AB76" s="2" t="s">
        <v>1602</v>
      </c>
      <c r="AC76" s="1" t="s">
        <v>59</v>
      </c>
      <c r="AD76" s="16"/>
    </row>
    <row r="77" spans="1:30" ht="15" customHeight="1" x14ac:dyDescent="0.15">
      <c r="A77" s="44"/>
      <c r="B77" s="2" t="s">
        <v>118</v>
      </c>
      <c r="C77" s="1">
        <v>63.5</v>
      </c>
      <c r="D77" s="1"/>
      <c r="F77" s="1">
        <v>15</v>
      </c>
      <c r="G77" s="1" t="s">
        <v>123</v>
      </c>
      <c r="Q77" s="1">
        <v>60</v>
      </c>
      <c r="R77" s="1" t="s">
        <v>207</v>
      </c>
      <c r="S77" s="17"/>
      <c r="V77" s="280"/>
      <c r="W77" s="4" t="s">
        <v>55</v>
      </c>
      <c r="X77" s="1" t="s">
        <v>40</v>
      </c>
      <c r="Y77" s="1" t="s">
        <v>1605</v>
      </c>
      <c r="Z77" s="17" t="s">
        <v>40</v>
      </c>
      <c r="AB77" s="2" t="s">
        <v>1604</v>
      </c>
      <c r="AC77" s="1" t="s">
        <v>60</v>
      </c>
      <c r="AD77" s="16"/>
    </row>
    <row r="78" spans="1:30" ht="15" customHeight="1" x14ac:dyDescent="0.15">
      <c r="A78" s="44"/>
      <c r="B78" s="2" t="s">
        <v>119</v>
      </c>
      <c r="C78" s="1">
        <v>76.199999999999989</v>
      </c>
      <c r="D78" s="1"/>
      <c r="F78" s="1">
        <v>18.5</v>
      </c>
      <c r="G78" s="1" t="s">
        <v>123</v>
      </c>
      <c r="Q78" s="1">
        <v>65</v>
      </c>
      <c r="R78" s="1" t="s">
        <v>208</v>
      </c>
      <c r="S78" s="17"/>
      <c r="V78" s="280"/>
      <c r="W78" s="18" t="s">
        <v>40</v>
      </c>
      <c r="X78" s="17" t="s">
        <v>40</v>
      </c>
      <c r="Y78" s="17" t="s">
        <v>40</v>
      </c>
      <c r="Z78" s="17" t="s">
        <v>40</v>
      </c>
      <c r="AB78" s="2" t="s">
        <v>40</v>
      </c>
      <c r="AC78" s="1" t="s">
        <v>61</v>
      </c>
      <c r="AD78" s="16"/>
    </row>
    <row r="79" spans="1:30" ht="15" customHeight="1" x14ac:dyDescent="0.15">
      <c r="A79" s="44"/>
      <c r="B79" s="2" t="s">
        <v>40</v>
      </c>
      <c r="C79" s="1" t="s">
        <v>40</v>
      </c>
      <c r="D79" s="1"/>
      <c r="F79" s="1">
        <v>22</v>
      </c>
      <c r="G79" s="1" t="s">
        <v>124</v>
      </c>
      <c r="Q79" s="1">
        <v>70</v>
      </c>
      <c r="R79" s="1" t="s">
        <v>209</v>
      </c>
      <c r="S79" s="17"/>
      <c r="AB79" s="2" t="s">
        <v>40</v>
      </c>
      <c r="AC79" s="1" t="s">
        <v>62</v>
      </c>
      <c r="AD79" s="16"/>
    </row>
    <row r="80" spans="1:30" ht="15" customHeight="1" x14ac:dyDescent="0.15">
      <c r="A80" s="44"/>
      <c r="B80" s="2" t="s">
        <v>120</v>
      </c>
      <c r="C80" s="1">
        <v>25.4</v>
      </c>
      <c r="D80" s="1"/>
      <c r="F80" s="1">
        <v>30</v>
      </c>
      <c r="G80" s="1" t="s">
        <v>124</v>
      </c>
      <c r="Q80" s="1">
        <v>75</v>
      </c>
      <c r="R80" s="1" t="s">
        <v>210</v>
      </c>
      <c r="S80" s="17"/>
      <c r="AB80" s="16" t="s">
        <v>40</v>
      </c>
      <c r="AC80" s="16" t="s">
        <v>40</v>
      </c>
      <c r="AD80" s="16"/>
    </row>
    <row r="81" spans="1:30" ht="15" customHeight="1" x14ac:dyDescent="0.15">
      <c r="A81" s="44"/>
      <c r="B81" s="2" t="s">
        <v>121</v>
      </c>
      <c r="C81" s="1">
        <v>31.75</v>
      </c>
      <c r="D81" s="1"/>
      <c r="F81" s="1">
        <v>37</v>
      </c>
      <c r="G81" s="1" t="s">
        <v>125</v>
      </c>
      <c r="Q81" s="1">
        <v>80</v>
      </c>
      <c r="R81" s="1" t="s">
        <v>211</v>
      </c>
      <c r="S81" s="17"/>
    </row>
    <row r="82" spans="1:30" ht="15" customHeight="1" x14ac:dyDescent="0.15">
      <c r="A82" s="44"/>
      <c r="B82" s="2" t="s">
        <v>122</v>
      </c>
      <c r="C82" s="1">
        <v>38.099999999999994</v>
      </c>
      <c r="D82" s="1"/>
      <c r="F82" s="1">
        <v>45</v>
      </c>
      <c r="G82" s="1" t="s">
        <v>125</v>
      </c>
      <c r="Q82" s="1">
        <v>85</v>
      </c>
      <c r="R82" s="1" t="s">
        <v>212</v>
      </c>
      <c r="S82" s="17"/>
      <c r="V82" s="2" t="s">
        <v>690</v>
      </c>
      <c r="AC82" s="1">
        <v>6</v>
      </c>
      <c r="AD82" s="1">
        <v>7</v>
      </c>
    </row>
    <row r="83" spans="1:30" ht="15" customHeight="1" x14ac:dyDescent="0.15">
      <c r="A83" s="44"/>
      <c r="B83" s="2" t="s">
        <v>123</v>
      </c>
      <c r="C83" s="1">
        <v>44.449999999999996</v>
      </c>
      <c r="D83" s="1">
        <v>11</v>
      </c>
      <c r="F83" s="17" t="s">
        <v>40</v>
      </c>
      <c r="G83" s="17" t="s">
        <v>40</v>
      </c>
      <c r="Q83" s="1">
        <v>90</v>
      </c>
      <c r="R83" s="1" t="s">
        <v>213</v>
      </c>
      <c r="S83" s="17"/>
      <c r="V83" s="44" t="s">
        <v>691</v>
      </c>
      <c r="W83" s="12">
        <v>2</v>
      </c>
      <c r="X83" s="12">
        <v>3</v>
      </c>
      <c r="Y83" s="12">
        <v>4</v>
      </c>
      <c r="Z83" s="12">
        <v>5</v>
      </c>
      <c r="AA83" s="12">
        <v>6</v>
      </c>
      <c r="AB83" s="12">
        <v>7</v>
      </c>
      <c r="AC83" s="12">
        <v>8</v>
      </c>
      <c r="AD83" s="12">
        <v>9</v>
      </c>
    </row>
    <row r="84" spans="1:30" ht="15" customHeight="1" x14ac:dyDescent="0.15">
      <c r="A84" s="44"/>
      <c r="B84" s="2" t="s">
        <v>124</v>
      </c>
      <c r="C84" s="1">
        <v>50.8</v>
      </c>
      <c r="D84" s="1">
        <v>12</v>
      </c>
      <c r="F84" s="1"/>
      <c r="Q84" s="1">
        <v>100</v>
      </c>
      <c r="R84" s="1" t="s">
        <v>214</v>
      </c>
      <c r="S84" s="17"/>
      <c r="W84" s="279" t="s">
        <v>306</v>
      </c>
      <c r="X84" s="279"/>
      <c r="Y84" s="279" t="s">
        <v>741</v>
      </c>
      <c r="Z84" s="279"/>
      <c r="AA84" s="279" t="s">
        <v>742</v>
      </c>
      <c r="AB84" s="279"/>
      <c r="AC84" s="279" t="s">
        <v>693</v>
      </c>
      <c r="AD84" s="279"/>
    </row>
    <row r="85" spans="1:30" ht="15" customHeight="1" x14ac:dyDescent="0.15">
      <c r="A85" s="44"/>
      <c r="B85" s="2" t="s">
        <v>125</v>
      </c>
      <c r="C85" s="1">
        <v>63.5</v>
      </c>
      <c r="D85" s="1">
        <v>13</v>
      </c>
      <c r="F85" s="1"/>
      <c r="Q85" s="1">
        <v>110</v>
      </c>
      <c r="R85" s="1" t="s">
        <v>215</v>
      </c>
      <c r="S85" s="17"/>
      <c r="V85" s="2" t="s">
        <v>692</v>
      </c>
      <c r="W85" s="1" t="s">
        <v>101</v>
      </c>
      <c r="X85" s="1" t="s">
        <v>46</v>
      </c>
      <c r="Y85" s="1" t="s">
        <v>101</v>
      </c>
      <c r="Z85" s="1" t="s">
        <v>46</v>
      </c>
      <c r="AA85" s="1" t="s">
        <v>101</v>
      </c>
      <c r="AB85" s="1" t="s">
        <v>46</v>
      </c>
      <c r="AC85" s="1" t="s">
        <v>101</v>
      </c>
      <c r="AD85" s="1" t="s">
        <v>46</v>
      </c>
    </row>
    <row r="86" spans="1:30" ht="15" customHeight="1" x14ac:dyDescent="0.15">
      <c r="A86" s="44"/>
      <c r="B86" s="2" t="s">
        <v>126</v>
      </c>
      <c r="C86" s="1">
        <v>76.199999999999989</v>
      </c>
      <c r="D86" s="1"/>
      <c r="F86" s="1"/>
      <c r="Q86" s="1">
        <v>120</v>
      </c>
      <c r="R86" s="1" t="s">
        <v>216</v>
      </c>
      <c r="S86" s="17"/>
      <c r="V86" s="2" t="s">
        <v>635</v>
      </c>
      <c r="W86" s="1">
        <v>20</v>
      </c>
      <c r="X86" s="1" t="s">
        <v>745</v>
      </c>
      <c r="Y86" s="1">
        <v>20</v>
      </c>
      <c r="Z86" s="1" t="s">
        <v>698</v>
      </c>
      <c r="AA86" s="1">
        <v>20</v>
      </c>
      <c r="AB86" s="1" t="s">
        <v>743</v>
      </c>
      <c r="AC86" s="1">
        <v>20</v>
      </c>
      <c r="AD86" s="1" t="s">
        <v>699</v>
      </c>
    </row>
    <row r="87" spans="1:30" ht="15" customHeight="1" x14ac:dyDescent="0.15">
      <c r="A87" s="44"/>
      <c r="B87" s="16" t="s">
        <v>40</v>
      </c>
      <c r="C87" s="17" t="s">
        <v>40</v>
      </c>
      <c r="D87" s="17" t="s">
        <v>40</v>
      </c>
      <c r="Q87" s="1">
        <v>130</v>
      </c>
      <c r="R87" s="1" t="s">
        <v>217</v>
      </c>
      <c r="S87" s="17"/>
      <c r="V87" s="2" t="s">
        <v>636</v>
      </c>
      <c r="W87" s="1">
        <v>16</v>
      </c>
      <c r="X87" s="1" t="s">
        <v>697</v>
      </c>
      <c r="Y87" s="1">
        <v>16</v>
      </c>
      <c r="Z87" s="1" t="s">
        <v>698</v>
      </c>
      <c r="AA87" s="1">
        <v>16</v>
      </c>
      <c r="AB87" s="1" t="s">
        <v>743</v>
      </c>
      <c r="AC87" s="1">
        <v>16</v>
      </c>
      <c r="AD87" s="1" t="s">
        <v>699</v>
      </c>
    </row>
    <row r="88" spans="1:30" ht="15" customHeight="1" x14ac:dyDescent="0.15">
      <c r="A88" s="44"/>
      <c r="Q88" s="1">
        <v>140</v>
      </c>
      <c r="R88" s="1" t="s">
        <v>218</v>
      </c>
      <c r="S88" s="17"/>
      <c r="V88" s="2" t="s">
        <v>637</v>
      </c>
      <c r="W88" s="1">
        <v>24</v>
      </c>
      <c r="X88" s="1" t="s">
        <v>694</v>
      </c>
      <c r="Y88" s="1">
        <v>24</v>
      </c>
      <c r="Z88" s="1" t="s">
        <v>695</v>
      </c>
      <c r="AA88" s="1">
        <v>24</v>
      </c>
      <c r="AB88" s="1" t="s">
        <v>744</v>
      </c>
      <c r="AC88" s="1">
        <v>24</v>
      </c>
      <c r="AD88" s="1" t="s">
        <v>696</v>
      </c>
    </row>
    <row r="89" spans="1:30" ht="15" customHeight="1" x14ac:dyDescent="0.15">
      <c r="A89" s="44"/>
      <c r="Q89" s="1">
        <v>150</v>
      </c>
      <c r="R89" s="1" t="s">
        <v>219</v>
      </c>
      <c r="S89" s="17"/>
      <c r="V89" s="17"/>
      <c r="W89" s="17"/>
      <c r="X89" s="17"/>
      <c r="Y89" s="17"/>
      <c r="Z89" s="17"/>
      <c r="AA89" s="17"/>
      <c r="AB89" s="17"/>
      <c r="AC89" s="17"/>
      <c r="AD89" s="17"/>
    </row>
    <row r="90" spans="1:30" ht="15" customHeight="1" x14ac:dyDescent="0.15">
      <c r="A90" s="44"/>
      <c r="Q90" s="17" t="s">
        <v>40</v>
      </c>
      <c r="R90" s="17" t="s">
        <v>40</v>
      </c>
      <c r="S90" s="17"/>
    </row>
    <row r="91" spans="1:30" ht="15" customHeight="1" x14ac:dyDescent="0.15">
      <c r="A91" s="44"/>
    </row>
    <row r="92" spans="1:30" ht="15" customHeight="1" x14ac:dyDescent="0.15">
      <c r="A92" s="44"/>
    </row>
    <row r="93" spans="1:30" ht="15" customHeight="1" x14ac:dyDescent="0.15">
      <c r="A93" s="44"/>
      <c r="B93" s="2" t="s">
        <v>321</v>
      </c>
      <c r="C93" s="12">
        <v>2</v>
      </c>
      <c r="D93" s="12">
        <v>3</v>
      </c>
      <c r="E93" s="12">
        <v>4</v>
      </c>
      <c r="F93" s="12">
        <v>5</v>
      </c>
      <c r="G93" s="12">
        <v>6</v>
      </c>
      <c r="H93" s="12">
        <v>7</v>
      </c>
      <c r="I93" s="12">
        <v>8</v>
      </c>
      <c r="J93" s="12">
        <v>9</v>
      </c>
      <c r="K93" s="12">
        <v>10</v>
      </c>
      <c r="L93" s="12">
        <v>11</v>
      </c>
      <c r="M93" s="12">
        <v>12</v>
      </c>
      <c r="N93" s="12">
        <v>13</v>
      </c>
    </row>
    <row r="94" spans="1:30" ht="15" customHeight="1" x14ac:dyDescent="0.15">
      <c r="A94" s="44"/>
      <c r="D94" s="279" t="s">
        <v>189</v>
      </c>
      <c r="E94" s="279"/>
      <c r="F94" s="279" t="s">
        <v>323</v>
      </c>
      <c r="G94" s="279"/>
      <c r="H94" s="279" t="s">
        <v>312</v>
      </c>
      <c r="I94" s="279"/>
      <c r="J94" s="1" t="s">
        <v>192</v>
      </c>
      <c r="K94" s="1" t="s">
        <v>314</v>
      </c>
      <c r="L94" s="1" t="s">
        <v>323</v>
      </c>
      <c r="M94" s="1" t="s">
        <v>1232</v>
      </c>
      <c r="N94" s="1" t="s">
        <v>1232</v>
      </c>
    </row>
    <row r="95" spans="1:30" ht="15" customHeight="1" x14ac:dyDescent="0.15">
      <c r="A95" s="44"/>
      <c r="B95" s="1" t="s">
        <v>191</v>
      </c>
      <c r="C95" s="1" t="s">
        <v>190</v>
      </c>
      <c r="D95" s="1" t="s">
        <v>46</v>
      </c>
      <c r="E95" s="1" t="s">
        <v>330</v>
      </c>
      <c r="F95" s="1" t="s">
        <v>46</v>
      </c>
      <c r="G95" s="1" t="s">
        <v>330</v>
      </c>
      <c r="H95" s="1" t="s">
        <v>46</v>
      </c>
      <c r="I95" s="1" t="s">
        <v>330</v>
      </c>
      <c r="J95" s="1" t="s">
        <v>330</v>
      </c>
      <c r="K95" s="1" t="s">
        <v>331</v>
      </c>
      <c r="L95" s="1" t="s">
        <v>1210</v>
      </c>
      <c r="M95" s="1" t="s">
        <v>1233</v>
      </c>
      <c r="N95" s="1" t="s">
        <v>1242</v>
      </c>
    </row>
    <row r="96" spans="1:30" ht="15" customHeight="1" x14ac:dyDescent="0.15">
      <c r="A96" s="44" t="s">
        <v>648</v>
      </c>
      <c r="B96" s="1" t="s">
        <v>40</v>
      </c>
      <c r="C96" s="1" t="s">
        <v>40</v>
      </c>
      <c r="D96" s="1" t="s">
        <v>40</v>
      </c>
      <c r="E96" s="1" t="s">
        <v>40</v>
      </c>
      <c r="F96" s="1" t="s">
        <v>40</v>
      </c>
      <c r="G96" s="1" t="s">
        <v>40</v>
      </c>
      <c r="H96" s="1" t="s">
        <v>40</v>
      </c>
      <c r="I96" s="1" t="s">
        <v>40</v>
      </c>
      <c r="J96" s="1" t="s">
        <v>40</v>
      </c>
      <c r="K96" s="1" t="s">
        <v>40</v>
      </c>
      <c r="L96" s="1" t="s">
        <v>40</v>
      </c>
      <c r="M96" s="1" t="s">
        <v>40</v>
      </c>
      <c r="N96" s="1" t="s">
        <v>40</v>
      </c>
      <c r="O96" s="16"/>
    </row>
    <row r="97" spans="1:15" ht="15" customHeight="1" x14ac:dyDescent="0.15">
      <c r="A97" s="44"/>
      <c r="B97" s="1">
        <v>115</v>
      </c>
      <c r="C97" s="1" t="s">
        <v>1696</v>
      </c>
      <c r="D97" s="1" t="s">
        <v>1220</v>
      </c>
      <c r="E97" s="1">
        <v>1</v>
      </c>
      <c r="F97" s="1" t="s">
        <v>1208</v>
      </c>
      <c r="G97" s="1">
        <v>2</v>
      </c>
      <c r="H97" s="1" t="s">
        <v>1209</v>
      </c>
      <c r="I97" s="1">
        <v>1</v>
      </c>
      <c r="J97" s="1">
        <v>1</v>
      </c>
      <c r="K97" s="1">
        <v>1116</v>
      </c>
      <c r="L97" s="1" t="s">
        <v>1216</v>
      </c>
      <c r="M97" s="1" t="s">
        <v>1238</v>
      </c>
      <c r="N97" s="1" t="s">
        <v>1245</v>
      </c>
      <c r="O97" s="16"/>
    </row>
    <row r="98" spans="1:15" ht="15" customHeight="1" x14ac:dyDescent="0.15">
      <c r="A98" s="44"/>
      <c r="B98" s="1">
        <v>125</v>
      </c>
      <c r="C98" s="1" t="s">
        <v>1697</v>
      </c>
      <c r="D98" s="1" t="s">
        <v>1221</v>
      </c>
      <c r="E98" s="1">
        <v>1</v>
      </c>
      <c r="F98" s="1" t="s">
        <v>1211</v>
      </c>
      <c r="G98" s="1">
        <v>2</v>
      </c>
      <c r="H98" s="1" t="s">
        <v>313</v>
      </c>
      <c r="I98" s="1">
        <v>1</v>
      </c>
      <c r="J98" s="1">
        <v>1</v>
      </c>
      <c r="K98" s="1">
        <v>1728</v>
      </c>
      <c r="L98" s="1" t="s">
        <v>1215</v>
      </c>
      <c r="M98" s="1" t="s">
        <v>1238</v>
      </c>
      <c r="N98" s="1" t="s">
        <v>1243</v>
      </c>
      <c r="O98" s="16"/>
    </row>
    <row r="99" spans="1:15" ht="15" customHeight="1" x14ac:dyDescent="0.15">
      <c r="A99" s="44"/>
      <c r="B99" s="1">
        <v>135</v>
      </c>
      <c r="C99" s="1" t="s">
        <v>1698</v>
      </c>
      <c r="D99" s="1" t="s">
        <v>1222</v>
      </c>
      <c r="E99" s="1">
        <v>1</v>
      </c>
      <c r="F99" s="1" t="s">
        <v>1218</v>
      </c>
      <c r="G99" s="1">
        <v>2</v>
      </c>
      <c r="H99" s="1" t="s">
        <v>313</v>
      </c>
      <c r="I99" s="1">
        <v>1</v>
      </c>
      <c r="J99" s="1">
        <v>1</v>
      </c>
      <c r="K99" s="1">
        <v>1485</v>
      </c>
      <c r="L99" s="1" t="s">
        <v>1217</v>
      </c>
      <c r="M99" s="1" t="s">
        <v>1239</v>
      </c>
      <c r="N99" s="1" t="s">
        <v>1243</v>
      </c>
      <c r="O99" s="16"/>
    </row>
    <row r="100" spans="1:15" ht="15" customHeight="1" x14ac:dyDescent="0.15">
      <c r="A100" s="44"/>
      <c r="B100" s="1">
        <v>150</v>
      </c>
      <c r="C100" s="1" t="s">
        <v>1699</v>
      </c>
      <c r="D100" s="1" t="s">
        <v>1223</v>
      </c>
      <c r="E100" s="1">
        <v>1</v>
      </c>
      <c r="F100" s="1" t="s">
        <v>1224</v>
      </c>
      <c r="G100" s="1">
        <v>2</v>
      </c>
      <c r="H100" s="1" t="s">
        <v>40</v>
      </c>
      <c r="I100" s="1" t="s">
        <v>40</v>
      </c>
      <c r="J100" s="1">
        <v>1</v>
      </c>
      <c r="K100" s="1">
        <v>1500</v>
      </c>
      <c r="L100" s="1" t="s">
        <v>1219</v>
      </c>
      <c r="M100" s="1" t="s">
        <v>1239</v>
      </c>
      <c r="N100" s="1" t="s">
        <v>1244</v>
      </c>
      <c r="O100" s="16"/>
    </row>
    <row r="101" spans="1:15" ht="15" customHeight="1" x14ac:dyDescent="0.15">
      <c r="A101" s="44"/>
      <c r="B101" s="1" t="s">
        <v>40</v>
      </c>
      <c r="C101" s="1" t="s">
        <v>40</v>
      </c>
      <c r="D101" s="1" t="s">
        <v>40</v>
      </c>
      <c r="E101" s="1" t="s">
        <v>40</v>
      </c>
      <c r="F101" s="1" t="s">
        <v>40</v>
      </c>
      <c r="G101" s="1" t="s">
        <v>40</v>
      </c>
      <c r="H101" s="1" t="s">
        <v>40</v>
      </c>
      <c r="I101" s="1" t="s">
        <v>40</v>
      </c>
      <c r="J101" s="1" t="s">
        <v>40</v>
      </c>
      <c r="K101" s="1" t="s">
        <v>40</v>
      </c>
      <c r="L101" s="1" t="s">
        <v>40</v>
      </c>
      <c r="M101" s="1" t="s">
        <v>40</v>
      </c>
      <c r="N101" s="1" t="s">
        <v>40</v>
      </c>
      <c r="O101" s="16"/>
    </row>
    <row r="102" spans="1:15" ht="15" customHeight="1" x14ac:dyDescent="0.15">
      <c r="A102" s="44"/>
      <c r="B102" s="1" t="s">
        <v>40</v>
      </c>
      <c r="C102" s="1" t="s">
        <v>40</v>
      </c>
      <c r="D102" s="1" t="s">
        <v>40</v>
      </c>
      <c r="E102" s="1" t="s">
        <v>40</v>
      </c>
      <c r="F102" s="1" t="s">
        <v>40</v>
      </c>
      <c r="G102" s="1" t="s">
        <v>40</v>
      </c>
      <c r="H102" s="1" t="s">
        <v>40</v>
      </c>
      <c r="I102" s="1" t="s">
        <v>40</v>
      </c>
      <c r="J102" s="1" t="s">
        <v>40</v>
      </c>
      <c r="K102" s="1" t="s">
        <v>40</v>
      </c>
      <c r="L102" s="1" t="s">
        <v>40</v>
      </c>
      <c r="M102" s="1" t="s">
        <v>40</v>
      </c>
      <c r="N102" s="1" t="s">
        <v>40</v>
      </c>
      <c r="O102" s="16"/>
    </row>
    <row r="103" spans="1:15" ht="15" customHeight="1" x14ac:dyDescent="0.15">
      <c r="A103" s="44"/>
      <c r="B103" s="1" t="s">
        <v>40</v>
      </c>
      <c r="C103" s="1" t="s">
        <v>40</v>
      </c>
      <c r="D103" s="1" t="s">
        <v>40</v>
      </c>
      <c r="E103" s="1" t="s">
        <v>40</v>
      </c>
      <c r="F103" s="1" t="s">
        <v>40</v>
      </c>
      <c r="G103" s="1" t="s">
        <v>40</v>
      </c>
      <c r="H103" s="1" t="s">
        <v>40</v>
      </c>
      <c r="I103" s="1" t="s">
        <v>40</v>
      </c>
      <c r="J103" s="1" t="s">
        <v>40</v>
      </c>
      <c r="K103" s="1" t="s">
        <v>40</v>
      </c>
      <c r="L103" s="1" t="s">
        <v>40</v>
      </c>
      <c r="M103" s="1" t="s">
        <v>40</v>
      </c>
      <c r="N103" s="1" t="s">
        <v>40</v>
      </c>
      <c r="O103" s="16"/>
    </row>
    <row r="104" spans="1:15" ht="15" customHeight="1" x14ac:dyDescent="0.15">
      <c r="A104" s="44"/>
      <c r="B104" s="16"/>
      <c r="C104" s="16"/>
      <c r="D104" s="16"/>
      <c r="E104" s="16"/>
      <c r="F104" s="16"/>
      <c r="G104" s="16"/>
      <c r="H104" s="17"/>
      <c r="I104" s="17"/>
      <c r="J104" s="16"/>
      <c r="K104" s="16"/>
      <c r="L104" s="16"/>
      <c r="M104" s="16"/>
      <c r="N104" s="16"/>
      <c r="O104" s="16"/>
    </row>
    <row r="105" spans="1:15" ht="15" customHeight="1" x14ac:dyDescent="0.15">
      <c r="A105" s="44"/>
      <c r="B105" s="2" t="s">
        <v>1212</v>
      </c>
    </row>
    <row r="106" spans="1:15" ht="15" customHeight="1" x14ac:dyDescent="0.15">
      <c r="A106" s="44"/>
    </row>
    <row r="107" spans="1:15" ht="15" customHeight="1" x14ac:dyDescent="0.15">
      <c r="A107" s="44"/>
    </row>
    <row r="108" spans="1:15" ht="15" customHeight="1" x14ac:dyDescent="0.15">
      <c r="A108" s="44"/>
      <c r="B108" s="2" t="s">
        <v>322</v>
      </c>
      <c r="C108" s="12">
        <v>2</v>
      </c>
      <c r="D108" s="12">
        <v>3</v>
      </c>
      <c r="E108" s="12">
        <v>4</v>
      </c>
      <c r="F108" s="12">
        <v>5</v>
      </c>
      <c r="G108" s="12">
        <v>6</v>
      </c>
      <c r="H108" s="12">
        <v>7</v>
      </c>
      <c r="I108" s="12">
        <v>8</v>
      </c>
      <c r="J108" s="12">
        <v>9</v>
      </c>
      <c r="K108" s="12">
        <v>10</v>
      </c>
      <c r="L108" s="12">
        <v>11</v>
      </c>
      <c r="M108" s="12">
        <v>12</v>
      </c>
    </row>
    <row r="109" spans="1:15" ht="15" customHeight="1" x14ac:dyDescent="0.15">
      <c r="A109" s="44"/>
      <c r="D109" s="279" t="s">
        <v>189</v>
      </c>
      <c r="E109" s="279"/>
      <c r="F109" s="279" t="s">
        <v>323</v>
      </c>
      <c r="G109" s="279"/>
      <c r="H109" s="279" t="s">
        <v>324</v>
      </c>
      <c r="I109" s="279"/>
      <c r="J109" s="1" t="s">
        <v>192</v>
      </c>
      <c r="K109" s="1" t="s">
        <v>314</v>
      </c>
      <c r="L109" s="1" t="s">
        <v>323</v>
      </c>
      <c r="M109" s="1" t="s">
        <v>1232</v>
      </c>
    </row>
    <row r="110" spans="1:15" ht="15" customHeight="1" x14ac:dyDescent="0.15">
      <c r="A110" s="44"/>
      <c r="B110" s="1" t="s">
        <v>191</v>
      </c>
      <c r="C110" s="1" t="s">
        <v>190</v>
      </c>
      <c r="D110" s="1" t="s">
        <v>46</v>
      </c>
      <c r="E110" s="1" t="s">
        <v>330</v>
      </c>
      <c r="F110" s="1" t="s">
        <v>46</v>
      </c>
      <c r="G110" s="1" t="s">
        <v>330</v>
      </c>
      <c r="H110" s="1" t="s">
        <v>46</v>
      </c>
      <c r="I110" s="1" t="s">
        <v>330</v>
      </c>
      <c r="J110" s="1" t="s">
        <v>330</v>
      </c>
      <c r="K110" s="1" t="s">
        <v>331</v>
      </c>
      <c r="L110" s="1" t="s">
        <v>1210</v>
      </c>
      <c r="M110" s="1" t="s">
        <v>1233</v>
      </c>
    </row>
    <row r="111" spans="1:15" ht="15" customHeight="1" x14ac:dyDescent="0.15">
      <c r="A111" s="44" t="s">
        <v>647</v>
      </c>
      <c r="B111" s="1">
        <v>70</v>
      </c>
      <c r="C111" s="1" t="s">
        <v>319</v>
      </c>
      <c r="D111" s="1" t="s">
        <v>310</v>
      </c>
      <c r="E111" s="1">
        <v>1</v>
      </c>
      <c r="F111" s="1" t="s">
        <v>1236</v>
      </c>
      <c r="G111" s="1">
        <v>2</v>
      </c>
      <c r="H111" s="1" t="s">
        <v>327</v>
      </c>
      <c r="I111" s="1">
        <v>1</v>
      </c>
      <c r="J111" s="1">
        <v>1</v>
      </c>
      <c r="K111" s="1">
        <v>230</v>
      </c>
      <c r="L111" s="1" t="s">
        <v>1237</v>
      </c>
      <c r="M111" s="1" t="s">
        <v>1240</v>
      </c>
      <c r="N111" s="16"/>
    </row>
    <row r="112" spans="1:15" ht="15" customHeight="1" x14ac:dyDescent="0.15">
      <c r="A112" s="44"/>
      <c r="B112" s="1">
        <v>90</v>
      </c>
      <c r="C112" s="1" t="s">
        <v>320</v>
      </c>
      <c r="D112" s="1" t="s">
        <v>311</v>
      </c>
      <c r="E112" s="1">
        <v>1</v>
      </c>
      <c r="F112" s="1" t="s">
        <v>1234</v>
      </c>
      <c r="G112" s="1">
        <v>2</v>
      </c>
      <c r="H112" s="1" t="s">
        <v>328</v>
      </c>
      <c r="I112" s="1">
        <v>1</v>
      </c>
      <c r="J112" s="1">
        <v>1</v>
      </c>
      <c r="K112" s="1">
        <v>600</v>
      </c>
      <c r="L112" s="1" t="s">
        <v>1235</v>
      </c>
      <c r="M112" s="1" t="s">
        <v>1241</v>
      </c>
      <c r="N112" s="16"/>
    </row>
    <row r="113" spans="1:22" ht="15" customHeight="1" x14ac:dyDescent="0.15">
      <c r="A113" s="44"/>
      <c r="B113" s="17"/>
      <c r="C113" s="17"/>
      <c r="D113" s="17"/>
      <c r="E113" s="17"/>
      <c r="F113" s="16"/>
      <c r="G113" s="16"/>
      <c r="H113" s="16"/>
      <c r="I113" s="16"/>
      <c r="J113" s="16"/>
      <c r="K113" s="16"/>
      <c r="L113" s="16"/>
      <c r="M113" s="17"/>
      <c r="N113" s="16"/>
    </row>
    <row r="114" spans="1:22" ht="15" customHeight="1" x14ac:dyDescent="0.15">
      <c r="A114" s="44"/>
      <c r="B114" s="2" t="s">
        <v>332</v>
      </c>
    </row>
    <row r="115" spans="1:22" ht="15" customHeight="1" x14ac:dyDescent="0.15">
      <c r="A115" s="44"/>
    </row>
    <row r="116" spans="1:22" ht="15" customHeight="1" x14ac:dyDescent="0.15">
      <c r="A116" s="44"/>
    </row>
    <row r="117" spans="1:22" ht="15" customHeight="1" x14ac:dyDescent="0.15">
      <c r="A117" s="44"/>
    </row>
    <row r="118" spans="1:22" ht="15" customHeight="1" x14ac:dyDescent="0.15">
      <c r="A118" s="44"/>
      <c r="B118" s="2" t="s">
        <v>249</v>
      </c>
      <c r="G118" s="2" t="s">
        <v>260</v>
      </c>
      <c r="K118" s="2" t="s">
        <v>480</v>
      </c>
      <c r="M118" s="2" t="s">
        <v>485</v>
      </c>
      <c r="O118" s="2" t="s">
        <v>493</v>
      </c>
      <c r="Q118" s="2" t="s">
        <v>1571</v>
      </c>
      <c r="S118" s="2" t="s">
        <v>2068</v>
      </c>
      <c r="U118" s="2" t="s">
        <v>662</v>
      </c>
    </row>
    <row r="119" spans="1:22" ht="15" customHeight="1" x14ac:dyDescent="0.15">
      <c r="A119" s="44"/>
      <c r="C119" s="12">
        <v>2</v>
      </c>
      <c r="D119" s="12">
        <v>3</v>
      </c>
      <c r="G119" s="44" t="s">
        <v>643</v>
      </c>
      <c r="K119" s="44" t="s">
        <v>644</v>
      </c>
      <c r="M119" s="44" t="s">
        <v>645</v>
      </c>
      <c r="O119" s="44" t="s">
        <v>646</v>
      </c>
      <c r="Q119" s="44" t="s">
        <v>1577</v>
      </c>
      <c r="S119" s="44" t="s">
        <v>2069</v>
      </c>
      <c r="U119" s="44" t="s">
        <v>663</v>
      </c>
    </row>
    <row r="120" spans="1:22" ht="15" customHeight="1" x14ac:dyDescent="0.15">
      <c r="A120" s="44"/>
      <c r="B120" s="1" t="s">
        <v>259</v>
      </c>
      <c r="C120" s="1" t="s">
        <v>91</v>
      </c>
      <c r="D120" s="1" t="s">
        <v>105</v>
      </c>
      <c r="G120" s="1" t="s">
        <v>265</v>
      </c>
      <c r="H120" s="1" t="s">
        <v>1166</v>
      </c>
      <c r="K120" s="2" t="s">
        <v>481</v>
      </c>
      <c r="M120" s="2" t="s">
        <v>486</v>
      </c>
      <c r="O120" s="2" t="s">
        <v>494</v>
      </c>
      <c r="Q120" s="2" t="s">
        <v>1572</v>
      </c>
      <c r="S120" s="2" t="s">
        <v>2070</v>
      </c>
    </row>
    <row r="121" spans="1:22" ht="15" customHeight="1" x14ac:dyDescent="0.15">
      <c r="A121" s="44" t="s">
        <v>642</v>
      </c>
      <c r="B121" s="41">
        <v>500</v>
      </c>
      <c r="C121" s="41">
        <v>100</v>
      </c>
      <c r="D121" s="41">
        <v>200</v>
      </c>
      <c r="E121" s="67"/>
      <c r="G121" s="1">
        <v>15</v>
      </c>
      <c r="H121" s="1">
        <v>15</v>
      </c>
      <c r="K121" s="2" t="s">
        <v>482</v>
      </c>
      <c r="M121" s="2" t="s">
        <v>487</v>
      </c>
      <c r="O121" s="2" t="s">
        <v>1582</v>
      </c>
      <c r="Q121" s="2" t="s">
        <v>1573</v>
      </c>
      <c r="U121" s="1" t="s">
        <v>664</v>
      </c>
      <c r="V121" s="1">
        <v>2016</v>
      </c>
    </row>
    <row r="122" spans="1:22" ht="15" customHeight="1" x14ac:dyDescent="0.15">
      <c r="A122" s="44"/>
      <c r="B122" s="41">
        <v>600</v>
      </c>
      <c r="C122" s="41">
        <v>102</v>
      </c>
      <c r="D122" s="41">
        <v>202</v>
      </c>
      <c r="E122" s="67"/>
      <c r="G122" s="1">
        <v>20</v>
      </c>
      <c r="H122" s="1">
        <v>20</v>
      </c>
      <c r="K122" s="2" t="s">
        <v>483</v>
      </c>
      <c r="M122" s="2" t="s">
        <v>488</v>
      </c>
      <c r="O122" s="2" t="s">
        <v>641</v>
      </c>
      <c r="Q122" s="2" t="s">
        <v>1574</v>
      </c>
      <c r="U122" s="1" t="s">
        <v>665</v>
      </c>
      <c r="V122" s="1">
        <v>2017</v>
      </c>
    </row>
    <row r="123" spans="1:22" ht="15" customHeight="1" x14ac:dyDescent="0.15">
      <c r="A123" s="44"/>
      <c r="B123" s="41">
        <v>700</v>
      </c>
      <c r="C123" s="41">
        <v>104</v>
      </c>
      <c r="D123" s="41">
        <v>204</v>
      </c>
      <c r="E123" s="67"/>
      <c r="G123" s="1">
        <v>25</v>
      </c>
      <c r="H123" s="1">
        <v>20</v>
      </c>
      <c r="K123" s="2" t="s">
        <v>484</v>
      </c>
      <c r="M123" s="2" t="s">
        <v>489</v>
      </c>
      <c r="O123" s="2" t="s">
        <v>1583</v>
      </c>
      <c r="Q123" s="2" t="s">
        <v>1575</v>
      </c>
      <c r="U123" s="1" t="s">
        <v>666</v>
      </c>
      <c r="V123" s="1">
        <v>2018</v>
      </c>
    </row>
    <row r="124" spans="1:22" ht="15" customHeight="1" x14ac:dyDescent="0.15">
      <c r="A124" s="44"/>
      <c r="B124" s="41">
        <v>800</v>
      </c>
      <c r="C124" s="41">
        <v>106</v>
      </c>
      <c r="D124" s="41">
        <v>206</v>
      </c>
      <c r="E124" s="67"/>
      <c r="G124" s="1">
        <v>30</v>
      </c>
      <c r="H124" s="1">
        <v>20</v>
      </c>
      <c r="K124" s="2" t="s">
        <v>1579</v>
      </c>
      <c r="M124" s="2" t="s">
        <v>490</v>
      </c>
      <c r="Q124" s="2" t="s">
        <v>1576</v>
      </c>
      <c r="U124" s="1" t="s">
        <v>667</v>
      </c>
      <c r="V124" s="1">
        <v>2019</v>
      </c>
    </row>
    <row r="125" spans="1:22" ht="15" customHeight="1" x14ac:dyDescent="0.15">
      <c r="A125" s="44"/>
      <c r="B125" s="41">
        <v>900</v>
      </c>
      <c r="C125" s="41">
        <v>108</v>
      </c>
      <c r="D125" s="41">
        <v>208</v>
      </c>
      <c r="E125" s="67"/>
      <c r="G125" s="1">
        <v>35</v>
      </c>
      <c r="H125" s="1">
        <v>25</v>
      </c>
      <c r="K125" s="2" t="s">
        <v>1580</v>
      </c>
      <c r="M125" s="2" t="s">
        <v>491</v>
      </c>
      <c r="U125" s="1" t="s">
        <v>668</v>
      </c>
      <c r="V125" s="1">
        <v>2020</v>
      </c>
    </row>
    <row r="126" spans="1:22" ht="15" customHeight="1" x14ac:dyDescent="0.15">
      <c r="A126" s="44"/>
      <c r="B126" s="41">
        <v>1000</v>
      </c>
      <c r="C126" s="41">
        <v>1</v>
      </c>
      <c r="D126" s="41">
        <v>11</v>
      </c>
      <c r="E126" s="67"/>
      <c r="G126" s="1">
        <v>40</v>
      </c>
      <c r="H126" s="1">
        <v>25</v>
      </c>
      <c r="M126" s="2" t="s">
        <v>1673</v>
      </c>
      <c r="O126" s="16" t="s">
        <v>40</v>
      </c>
      <c r="Q126" s="16" t="s">
        <v>40</v>
      </c>
      <c r="S126" s="16" t="s">
        <v>40</v>
      </c>
      <c r="U126" s="1" t="s">
        <v>669</v>
      </c>
      <c r="V126" s="1">
        <v>2021</v>
      </c>
    </row>
    <row r="127" spans="1:22" ht="15" customHeight="1" x14ac:dyDescent="0.15">
      <c r="A127" s="44"/>
      <c r="B127" s="41">
        <v>1100</v>
      </c>
      <c r="C127" s="41">
        <v>111</v>
      </c>
      <c r="D127" s="41">
        <v>211</v>
      </c>
      <c r="E127" s="67"/>
      <c r="G127" s="1">
        <v>45</v>
      </c>
      <c r="H127" s="1">
        <v>25</v>
      </c>
      <c r="M127" s="2" t="s">
        <v>492</v>
      </c>
      <c r="U127" s="1" t="s">
        <v>670</v>
      </c>
      <c r="V127" s="1">
        <v>2022</v>
      </c>
    </row>
    <row r="128" spans="1:22" ht="15" customHeight="1" x14ac:dyDescent="0.15">
      <c r="A128" s="44"/>
      <c r="B128" s="41">
        <v>1200</v>
      </c>
      <c r="C128" s="41">
        <v>113</v>
      </c>
      <c r="D128" s="41">
        <v>213</v>
      </c>
      <c r="E128" s="67"/>
      <c r="G128" s="1">
        <v>50</v>
      </c>
      <c r="H128" s="1">
        <v>30</v>
      </c>
      <c r="M128" s="2" t="s">
        <v>1581</v>
      </c>
      <c r="U128" s="1" t="s">
        <v>671</v>
      </c>
      <c r="V128" s="1">
        <v>2023</v>
      </c>
    </row>
    <row r="129" spans="1:22" ht="15" customHeight="1" x14ac:dyDescent="0.15">
      <c r="A129" s="44"/>
      <c r="B129" s="41">
        <v>1300</v>
      </c>
      <c r="C129" s="41">
        <v>115</v>
      </c>
      <c r="D129" s="41">
        <v>215</v>
      </c>
      <c r="E129" s="67"/>
      <c r="G129" s="1">
        <v>55</v>
      </c>
      <c r="H129" s="1">
        <v>35</v>
      </c>
      <c r="M129" s="2" t="s">
        <v>1580</v>
      </c>
      <c r="U129" s="1" t="s">
        <v>672</v>
      </c>
      <c r="V129" s="1">
        <v>2024</v>
      </c>
    </row>
    <row r="130" spans="1:22" ht="15" customHeight="1" x14ac:dyDescent="0.15">
      <c r="A130" s="44"/>
      <c r="B130" s="41">
        <v>1400</v>
      </c>
      <c r="C130" s="41">
        <v>117</v>
      </c>
      <c r="D130" s="41">
        <v>217</v>
      </c>
      <c r="E130" s="67"/>
      <c r="G130" s="1">
        <v>60</v>
      </c>
      <c r="H130" s="1">
        <v>40</v>
      </c>
      <c r="U130" s="1" t="s">
        <v>673</v>
      </c>
      <c r="V130" s="1">
        <v>2025</v>
      </c>
    </row>
    <row r="131" spans="1:22" ht="15" customHeight="1" x14ac:dyDescent="0.15">
      <c r="A131" s="44"/>
      <c r="B131" s="41">
        <v>1500</v>
      </c>
      <c r="C131" s="41">
        <v>2</v>
      </c>
      <c r="D131" s="41">
        <v>12</v>
      </c>
      <c r="E131" s="67"/>
      <c r="G131" s="17" t="s">
        <v>40</v>
      </c>
      <c r="H131" s="17" t="s">
        <v>40</v>
      </c>
      <c r="U131" s="1" t="s">
        <v>674</v>
      </c>
      <c r="V131" s="1">
        <v>2026</v>
      </c>
    </row>
    <row r="132" spans="1:22" ht="15" customHeight="1" x14ac:dyDescent="0.15">
      <c r="A132" s="44"/>
      <c r="B132" s="41">
        <v>1600</v>
      </c>
      <c r="C132" s="41">
        <v>120</v>
      </c>
      <c r="D132" s="41">
        <v>220</v>
      </c>
      <c r="E132" s="67"/>
      <c r="G132" s="1"/>
      <c r="K132" s="17" t="s">
        <v>40</v>
      </c>
      <c r="M132" s="17" t="s">
        <v>40</v>
      </c>
      <c r="U132" s="1" t="s">
        <v>675</v>
      </c>
      <c r="V132" s="1">
        <v>2027</v>
      </c>
    </row>
    <row r="133" spans="1:22" ht="15" customHeight="1" x14ac:dyDescent="0.15">
      <c r="A133" s="44"/>
      <c r="B133" s="41">
        <v>1700</v>
      </c>
      <c r="C133" s="41">
        <v>122</v>
      </c>
      <c r="D133" s="41">
        <v>222</v>
      </c>
      <c r="E133" s="67"/>
      <c r="G133" s="1"/>
      <c r="U133" s="1" t="s">
        <v>676</v>
      </c>
      <c r="V133" s="1">
        <v>2028</v>
      </c>
    </row>
    <row r="134" spans="1:22" ht="15" customHeight="1" x14ac:dyDescent="0.15">
      <c r="A134" s="44"/>
      <c r="B134" s="41">
        <v>1800</v>
      </c>
      <c r="C134" s="41">
        <v>124</v>
      </c>
      <c r="D134" s="41">
        <v>224</v>
      </c>
      <c r="E134" s="67"/>
      <c r="G134" s="1"/>
      <c r="U134" s="1" t="s">
        <v>677</v>
      </c>
      <c r="V134" s="1">
        <v>2029</v>
      </c>
    </row>
    <row r="135" spans="1:22" ht="15" customHeight="1" x14ac:dyDescent="0.15">
      <c r="A135" s="44"/>
      <c r="B135" s="41">
        <v>1900</v>
      </c>
      <c r="C135" s="41">
        <v>126</v>
      </c>
      <c r="D135" s="41">
        <v>226</v>
      </c>
      <c r="E135" s="67"/>
      <c r="G135" s="1"/>
      <c r="U135" s="1" t="s">
        <v>678</v>
      </c>
      <c r="V135" s="1">
        <v>2030</v>
      </c>
    </row>
    <row r="136" spans="1:22" ht="15" customHeight="1" x14ac:dyDescent="0.15">
      <c r="A136" s="44"/>
      <c r="B136" s="41">
        <v>2000</v>
      </c>
      <c r="C136" s="41">
        <v>3</v>
      </c>
      <c r="D136" s="41">
        <v>13</v>
      </c>
      <c r="E136" s="67"/>
      <c r="G136" s="1"/>
      <c r="U136" s="1" t="s">
        <v>679</v>
      </c>
      <c r="V136" s="1">
        <v>2031</v>
      </c>
    </row>
    <row r="137" spans="1:22" ht="15" customHeight="1" x14ac:dyDescent="0.15">
      <c r="A137" s="44"/>
      <c r="B137" s="41">
        <v>2100</v>
      </c>
      <c r="C137" s="41">
        <v>129</v>
      </c>
      <c r="D137" s="41">
        <v>229</v>
      </c>
      <c r="E137" s="67"/>
      <c r="G137" s="1"/>
      <c r="U137" s="1" t="s">
        <v>680</v>
      </c>
      <c r="V137" s="1">
        <v>2032</v>
      </c>
    </row>
    <row r="138" spans="1:22" ht="15" customHeight="1" x14ac:dyDescent="0.15">
      <c r="A138" s="44"/>
      <c r="B138" s="41">
        <v>2200</v>
      </c>
      <c r="C138" s="41">
        <v>131</v>
      </c>
      <c r="D138" s="41">
        <v>231</v>
      </c>
      <c r="E138" s="67"/>
      <c r="U138" s="1" t="s">
        <v>681</v>
      </c>
      <c r="V138" s="1">
        <v>2033</v>
      </c>
    </row>
    <row r="139" spans="1:22" ht="15" customHeight="1" x14ac:dyDescent="0.15">
      <c r="A139" s="44"/>
      <c r="B139" s="41">
        <v>2300</v>
      </c>
      <c r="C139" s="41">
        <v>133</v>
      </c>
      <c r="D139" s="41">
        <v>233</v>
      </c>
      <c r="E139" s="67"/>
      <c r="U139" s="1" t="s">
        <v>682</v>
      </c>
      <c r="V139" s="1">
        <v>2034</v>
      </c>
    </row>
    <row r="140" spans="1:22" ht="15" customHeight="1" x14ac:dyDescent="0.15">
      <c r="A140" s="44"/>
      <c r="B140" s="41">
        <v>2400</v>
      </c>
      <c r="C140" s="41">
        <v>135</v>
      </c>
      <c r="D140" s="41">
        <v>235</v>
      </c>
      <c r="E140" s="67"/>
      <c r="U140" s="1" t="s">
        <v>683</v>
      </c>
      <c r="V140" s="1">
        <v>2035</v>
      </c>
    </row>
    <row r="141" spans="1:22" ht="15" customHeight="1" x14ac:dyDescent="0.15">
      <c r="A141" s="44"/>
      <c r="B141" s="41">
        <v>2500</v>
      </c>
      <c r="C141" s="41">
        <v>137</v>
      </c>
      <c r="D141" s="41">
        <v>237</v>
      </c>
      <c r="E141" s="67"/>
      <c r="U141" s="1" t="s">
        <v>684</v>
      </c>
      <c r="V141" s="1">
        <v>2036</v>
      </c>
    </row>
    <row r="142" spans="1:22" ht="15" customHeight="1" x14ac:dyDescent="0.15">
      <c r="A142" s="44"/>
      <c r="B142" s="41">
        <v>2600</v>
      </c>
      <c r="C142" s="41">
        <v>139</v>
      </c>
      <c r="D142" s="41">
        <v>239</v>
      </c>
      <c r="E142" s="67"/>
      <c r="U142" s="1" t="s">
        <v>685</v>
      </c>
      <c r="V142" s="1">
        <v>2037</v>
      </c>
    </row>
    <row r="143" spans="1:22" ht="15" customHeight="1" x14ac:dyDescent="0.15">
      <c r="A143" s="44"/>
      <c r="B143" s="41">
        <v>2700</v>
      </c>
      <c r="C143" s="41">
        <v>141</v>
      </c>
      <c r="D143" s="41">
        <v>241</v>
      </c>
      <c r="E143" s="67"/>
      <c r="U143" s="1" t="s">
        <v>686</v>
      </c>
      <c r="V143" s="1">
        <v>2038</v>
      </c>
    </row>
    <row r="144" spans="1:22" ht="15" customHeight="1" x14ac:dyDescent="0.15">
      <c r="A144" s="44"/>
      <c r="B144" s="41">
        <v>2800</v>
      </c>
      <c r="C144" s="41">
        <v>143</v>
      </c>
      <c r="D144" s="41">
        <v>243</v>
      </c>
      <c r="E144" s="67"/>
      <c r="U144" s="1" t="s">
        <v>687</v>
      </c>
      <c r="V144" s="1">
        <v>2039</v>
      </c>
    </row>
    <row r="145" spans="1:28" ht="15" customHeight="1" x14ac:dyDescent="0.15">
      <c r="A145" s="44"/>
      <c r="B145" s="41">
        <v>2900</v>
      </c>
      <c r="C145" s="41">
        <v>145</v>
      </c>
      <c r="D145" s="41">
        <v>245</v>
      </c>
      <c r="E145" s="67"/>
      <c r="U145" s="1" t="s">
        <v>688</v>
      </c>
      <c r="V145" s="1">
        <v>2040</v>
      </c>
    </row>
    <row r="146" spans="1:28" ht="15" customHeight="1" x14ac:dyDescent="0.15">
      <c r="A146" s="44"/>
      <c r="B146" s="41">
        <v>3000</v>
      </c>
      <c r="C146" s="41">
        <v>4</v>
      </c>
      <c r="D146" s="41">
        <v>14</v>
      </c>
      <c r="E146" s="67"/>
      <c r="U146" s="1" t="s">
        <v>689</v>
      </c>
      <c r="V146" s="1">
        <v>2041</v>
      </c>
    </row>
    <row r="147" spans="1:28" ht="15" customHeight="1" x14ac:dyDescent="0.15">
      <c r="A147" s="44"/>
      <c r="B147" s="67" t="s">
        <v>40</v>
      </c>
      <c r="C147" s="67" t="s">
        <v>40</v>
      </c>
      <c r="D147" s="67" t="s">
        <v>40</v>
      </c>
      <c r="E147" s="67"/>
      <c r="U147" s="17"/>
      <c r="V147" s="17"/>
    </row>
    <row r="148" spans="1:28" ht="15" customHeight="1" x14ac:dyDescent="0.15">
      <c r="A148" s="44"/>
    </row>
    <row r="149" spans="1:28" ht="15" customHeight="1" x14ac:dyDescent="0.15">
      <c r="A149" s="44"/>
    </row>
    <row r="150" spans="1:28" ht="15" customHeight="1" x14ac:dyDescent="0.15">
      <c r="A150" s="44"/>
      <c r="J150" s="2" t="s">
        <v>334</v>
      </c>
      <c r="K150" s="2" t="s">
        <v>409</v>
      </c>
      <c r="L150" s="2" t="s">
        <v>442</v>
      </c>
      <c r="M150" s="2" t="s">
        <v>444</v>
      </c>
      <c r="N150" s="2" t="s">
        <v>445</v>
      </c>
      <c r="O150" s="2" t="s">
        <v>448</v>
      </c>
    </row>
    <row r="151" spans="1:28" ht="15" customHeight="1" x14ac:dyDescent="0.15">
      <c r="A151" s="44"/>
    </row>
    <row r="152" spans="1:28" ht="15" customHeight="1" x14ac:dyDescent="0.15">
      <c r="A152" s="44"/>
      <c r="B152" s="2" t="s">
        <v>308</v>
      </c>
    </row>
    <row r="153" spans="1:28" ht="15" customHeight="1" x14ac:dyDescent="0.15">
      <c r="A153" s="44"/>
      <c r="D153" s="1" t="s">
        <v>335</v>
      </c>
      <c r="E153" s="1" t="s">
        <v>336</v>
      </c>
      <c r="F153" s="1" t="s">
        <v>337</v>
      </c>
      <c r="Z153" s="44" t="s">
        <v>461</v>
      </c>
    </row>
    <row r="154" spans="1:28" ht="15" customHeight="1" x14ac:dyDescent="0.15">
      <c r="A154" s="44"/>
      <c r="C154" s="1" t="s">
        <v>60</v>
      </c>
      <c r="D154" s="1" t="s">
        <v>338</v>
      </c>
      <c r="E154" s="1" t="s">
        <v>339</v>
      </c>
      <c r="F154" s="1" t="s">
        <v>340</v>
      </c>
      <c r="G154" s="1" t="s">
        <v>341</v>
      </c>
      <c r="H154" s="1" t="s">
        <v>342</v>
      </c>
      <c r="I154" s="1" t="s">
        <v>343</v>
      </c>
      <c r="J154" s="1" t="s">
        <v>344</v>
      </c>
      <c r="K154" s="1" t="s">
        <v>345</v>
      </c>
      <c r="L154" s="1" t="s">
        <v>346</v>
      </c>
      <c r="M154" s="1" t="s">
        <v>347</v>
      </c>
      <c r="N154" s="1" t="s">
        <v>348</v>
      </c>
      <c r="O154" s="1" t="s">
        <v>349</v>
      </c>
      <c r="P154" s="1" t="s">
        <v>350</v>
      </c>
      <c r="Q154" s="1" t="s">
        <v>351</v>
      </c>
      <c r="R154" s="1" t="s">
        <v>352</v>
      </c>
      <c r="S154" s="1" t="s">
        <v>353</v>
      </c>
      <c r="T154" s="1" t="s">
        <v>354</v>
      </c>
      <c r="U154" s="1" t="s">
        <v>468</v>
      </c>
    </row>
    <row r="155" spans="1:28" ht="15" customHeight="1" x14ac:dyDescent="0.15">
      <c r="A155" s="40" t="s">
        <v>334</v>
      </c>
      <c r="B155" s="29" t="s">
        <v>80</v>
      </c>
      <c r="C155" s="57">
        <v>70</v>
      </c>
      <c r="D155" s="57" t="s">
        <v>161</v>
      </c>
      <c r="E155" s="29">
        <v>5.5</v>
      </c>
      <c r="F155" s="29">
        <v>5.5</v>
      </c>
      <c r="G155" s="57" t="s">
        <v>355</v>
      </c>
      <c r="H155" s="57" t="s">
        <v>356</v>
      </c>
      <c r="I155" s="73" t="s">
        <v>711</v>
      </c>
      <c r="J155" s="73" t="s">
        <v>711</v>
      </c>
      <c r="K155" s="73" t="s">
        <v>357</v>
      </c>
      <c r="L155" s="73" t="s">
        <v>358</v>
      </c>
      <c r="M155" s="73" t="s">
        <v>40</v>
      </c>
      <c r="N155" s="73" t="s">
        <v>40</v>
      </c>
      <c r="O155" s="73" t="s">
        <v>40</v>
      </c>
      <c r="P155" s="73" t="s">
        <v>40</v>
      </c>
      <c r="Q155" s="73" t="s">
        <v>40</v>
      </c>
      <c r="R155" s="73" t="s">
        <v>40</v>
      </c>
      <c r="S155" s="57" t="s">
        <v>359</v>
      </c>
      <c r="T155" s="57" t="s">
        <v>360</v>
      </c>
      <c r="U155" s="57">
        <v>100</v>
      </c>
      <c r="V155" s="16"/>
      <c r="Z155" s="2" t="s">
        <v>343</v>
      </c>
      <c r="AA155" s="2">
        <v>8</v>
      </c>
      <c r="AB155" s="16"/>
    </row>
    <row r="156" spans="1:28" ht="15" customHeight="1" x14ac:dyDescent="0.15">
      <c r="A156" s="44"/>
      <c r="B156" s="29" t="s">
        <v>81</v>
      </c>
      <c r="C156" s="57">
        <v>80</v>
      </c>
      <c r="D156" s="57" t="s">
        <v>161</v>
      </c>
      <c r="E156" s="29">
        <v>5.5</v>
      </c>
      <c r="F156" s="29">
        <v>5.5</v>
      </c>
      <c r="G156" s="57" t="s">
        <v>361</v>
      </c>
      <c r="H156" s="57" t="s">
        <v>362</v>
      </c>
      <c r="I156" s="73" t="s">
        <v>711</v>
      </c>
      <c r="J156" s="73" t="s">
        <v>711</v>
      </c>
      <c r="K156" s="73" t="s">
        <v>363</v>
      </c>
      <c r="L156" s="73" t="s">
        <v>364</v>
      </c>
      <c r="M156" s="73" t="s">
        <v>40</v>
      </c>
      <c r="N156" s="73" t="s">
        <v>40</v>
      </c>
      <c r="O156" s="73" t="s">
        <v>40</v>
      </c>
      <c r="P156" s="73" t="s">
        <v>40</v>
      </c>
      <c r="Q156" s="73" t="s">
        <v>40</v>
      </c>
      <c r="R156" s="73" t="s">
        <v>40</v>
      </c>
      <c r="S156" s="57" t="s">
        <v>365</v>
      </c>
      <c r="T156" s="57" t="s">
        <v>360</v>
      </c>
      <c r="U156" s="57">
        <v>100</v>
      </c>
      <c r="V156" s="16"/>
      <c r="Z156" s="2" t="s">
        <v>344</v>
      </c>
      <c r="AA156" s="2">
        <v>9</v>
      </c>
      <c r="AB156" s="16"/>
    </row>
    <row r="157" spans="1:28" ht="15" customHeight="1" x14ac:dyDescent="0.15">
      <c r="A157" s="44"/>
      <c r="B157" s="29" t="s">
        <v>82</v>
      </c>
      <c r="C157" s="57">
        <v>80</v>
      </c>
      <c r="D157" s="57" t="s">
        <v>161</v>
      </c>
      <c r="E157" s="29">
        <v>5.5</v>
      </c>
      <c r="F157" s="29">
        <v>5.5</v>
      </c>
      <c r="G157" s="57" t="s">
        <v>361</v>
      </c>
      <c r="H157" s="57" t="s">
        <v>366</v>
      </c>
      <c r="I157" s="73" t="s">
        <v>711</v>
      </c>
      <c r="J157" s="73" t="s">
        <v>711</v>
      </c>
      <c r="K157" s="73" t="s">
        <v>367</v>
      </c>
      <c r="L157" s="73" t="s">
        <v>368</v>
      </c>
      <c r="M157" s="73" t="s">
        <v>40</v>
      </c>
      <c r="N157" s="73" t="s">
        <v>40</v>
      </c>
      <c r="O157" s="73" t="s">
        <v>40</v>
      </c>
      <c r="P157" s="73" t="s">
        <v>40</v>
      </c>
      <c r="Q157" s="73" t="s">
        <v>40</v>
      </c>
      <c r="R157" s="73" t="s">
        <v>40</v>
      </c>
      <c r="S157" s="57" t="s">
        <v>365</v>
      </c>
      <c r="T157" s="57" t="s">
        <v>369</v>
      </c>
      <c r="U157" s="57">
        <v>120</v>
      </c>
      <c r="V157" s="16"/>
      <c r="Z157" s="2" t="s">
        <v>345</v>
      </c>
      <c r="AA157" s="2">
        <v>10</v>
      </c>
      <c r="AB157" s="16"/>
    </row>
    <row r="158" spans="1:28" ht="15" customHeight="1" x14ac:dyDescent="0.15">
      <c r="A158" s="44"/>
      <c r="B158" s="29" t="s">
        <v>83</v>
      </c>
      <c r="C158" s="57">
        <v>90</v>
      </c>
      <c r="D158" s="57" t="s">
        <v>162</v>
      </c>
      <c r="E158" s="29">
        <v>11</v>
      </c>
      <c r="F158" s="29">
        <v>11</v>
      </c>
      <c r="G158" s="57" t="s">
        <v>370</v>
      </c>
      <c r="H158" s="57" t="s">
        <v>371</v>
      </c>
      <c r="I158" s="73" t="s">
        <v>711</v>
      </c>
      <c r="J158" s="73" t="s">
        <v>711</v>
      </c>
      <c r="K158" s="73" t="s">
        <v>711</v>
      </c>
      <c r="L158" s="73" t="s">
        <v>711</v>
      </c>
      <c r="M158" s="73" t="s">
        <v>372</v>
      </c>
      <c r="N158" s="73" t="s">
        <v>373</v>
      </c>
      <c r="O158" s="73" t="s">
        <v>40</v>
      </c>
      <c r="P158" s="73" t="s">
        <v>40</v>
      </c>
      <c r="Q158" s="73" t="s">
        <v>40</v>
      </c>
      <c r="R158" s="73" t="s">
        <v>40</v>
      </c>
      <c r="S158" s="57" t="s">
        <v>374</v>
      </c>
      <c r="T158" s="57" t="s">
        <v>369</v>
      </c>
      <c r="U158" s="57">
        <v>130</v>
      </c>
      <c r="V158" s="16"/>
      <c r="Z158" s="2" t="s">
        <v>346</v>
      </c>
      <c r="AA158" s="2">
        <v>11</v>
      </c>
      <c r="AB158" s="16"/>
    </row>
    <row r="159" spans="1:28" ht="15" customHeight="1" x14ac:dyDescent="0.15">
      <c r="A159" s="44"/>
      <c r="B159" s="29" t="s">
        <v>84</v>
      </c>
      <c r="C159" s="57">
        <v>90</v>
      </c>
      <c r="D159" s="57" t="s">
        <v>162</v>
      </c>
      <c r="E159" s="29">
        <v>11</v>
      </c>
      <c r="F159" s="29">
        <v>11</v>
      </c>
      <c r="G159" s="57" t="s">
        <v>370</v>
      </c>
      <c r="H159" s="57" t="s">
        <v>371</v>
      </c>
      <c r="I159" s="73" t="s">
        <v>40</v>
      </c>
      <c r="J159" s="73" t="s">
        <v>40</v>
      </c>
      <c r="K159" s="73" t="s">
        <v>711</v>
      </c>
      <c r="L159" s="73" t="s">
        <v>711</v>
      </c>
      <c r="M159" s="73" t="s">
        <v>372</v>
      </c>
      <c r="N159" s="73" t="s">
        <v>373</v>
      </c>
      <c r="O159" s="73" t="s">
        <v>40</v>
      </c>
      <c r="P159" s="73" t="s">
        <v>40</v>
      </c>
      <c r="Q159" s="73" t="s">
        <v>40</v>
      </c>
      <c r="R159" s="73" t="s">
        <v>40</v>
      </c>
      <c r="S159" s="57" t="s">
        <v>374</v>
      </c>
      <c r="T159" s="57" t="s">
        <v>369</v>
      </c>
      <c r="U159" s="57">
        <v>130</v>
      </c>
      <c r="V159" s="16"/>
      <c r="Z159" s="2" t="s">
        <v>347</v>
      </c>
      <c r="AA159" s="2">
        <v>12</v>
      </c>
      <c r="AB159" s="16"/>
    </row>
    <row r="160" spans="1:28" ht="15" customHeight="1" x14ac:dyDescent="0.15">
      <c r="A160" s="44"/>
      <c r="B160" s="29" t="s">
        <v>85</v>
      </c>
      <c r="C160" s="57">
        <v>90</v>
      </c>
      <c r="D160" s="57" t="s">
        <v>162</v>
      </c>
      <c r="E160" s="29">
        <v>11</v>
      </c>
      <c r="F160" s="29">
        <v>11</v>
      </c>
      <c r="G160" s="57" t="s">
        <v>370</v>
      </c>
      <c r="H160" s="57" t="s">
        <v>375</v>
      </c>
      <c r="I160" s="73" t="s">
        <v>40</v>
      </c>
      <c r="J160" s="73" t="s">
        <v>40</v>
      </c>
      <c r="K160" s="73" t="s">
        <v>711</v>
      </c>
      <c r="L160" s="73" t="s">
        <v>711</v>
      </c>
      <c r="M160" s="73" t="s">
        <v>376</v>
      </c>
      <c r="N160" s="73" t="s">
        <v>377</v>
      </c>
      <c r="O160" s="73" t="s">
        <v>40</v>
      </c>
      <c r="P160" s="73" t="s">
        <v>40</v>
      </c>
      <c r="Q160" s="73" t="s">
        <v>40</v>
      </c>
      <c r="R160" s="73" t="s">
        <v>40</v>
      </c>
      <c r="S160" s="57" t="s">
        <v>374</v>
      </c>
      <c r="T160" s="57" t="s">
        <v>369</v>
      </c>
      <c r="U160" s="57">
        <v>130</v>
      </c>
      <c r="V160" s="16"/>
      <c r="Z160" s="2" t="s">
        <v>348</v>
      </c>
      <c r="AA160" s="2">
        <v>13</v>
      </c>
      <c r="AB160" s="16"/>
    </row>
    <row r="161" spans="1:28" ht="15" customHeight="1" x14ac:dyDescent="0.15">
      <c r="A161" s="44"/>
      <c r="B161" s="29" t="s">
        <v>86</v>
      </c>
      <c r="C161" s="57">
        <v>100</v>
      </c>
      <c r="D161" s="57" t="s">
        <v>163</v>
      </c>
      <c r="E161" s="29">
        <v>15</v>
      </c>
      <c r="F161" s="29">
        <v>15</v>
      </c>
      <c r="G161" s="57" t="s">
        <v>378</v>
      </c>
      <c r="H161" s="57" t="s">
        <v>379</v>
      </c>
      <c r="I161" s="73" t="s">
        <v>40</v>
      </c>
      <c r="J161" s="73" t="s">
        <v>40</v>
      </c>
      <c r="K161" s="73" t="s">
        <v>711</v>
      </c>
      <c r="L161" s="73" t="s">
        <v>711</v>
      </c>
      <c r="M161" s="73" t="s">
        <v>380</v>
      </c>
      <c r="N161" s="73" t="s">
        <v>381</v>
      </c>
      <c r="O161" s="73" t="s">
        <v>382</v>
      </c>
      <c r="P161" s="73" t="s">
        <v>383</v>
      </c>
      <c r="Q161" s="73" t="s">
        <v>40</v>
      </c>
      <c r="R161" s="73" t="s">
        <v>40</v>
      </c>
      <c r="S161" s="57" t="s">
        <v>384</v>
      </c>
      <c r="T161" s="57" t="s">
        <v>385</v>
      </c>
      <c r="U161" s="57">
        <v>150</v>
      </c>
      <c r="V161" s="16"/>
      <c r="Z161" s="2" t="s">
        <v>349</v>
      </c>
      <c r="AA161" s="2">
        <v>14</v>
      </c>
      <c r="AB161" s="16"/>
    </row>
    <row r="162" spans="1:28" ht="15" customHeight="1" x14ac:dyDescent="0.15">
      <c r="A162" s="44"/>
      <c r="B162" s="29" t="s">
        <v>87</v>
      </c>
      <c r="C162" s="57">
        <v>110</v>
      </c>
      <c r="D162" s="57" t="s">
        <v>163</v>
      </c>
      <c r="E162" s="29">
        <v>15</v>
      </c>
      <c r="F162" s="29">
        <v>15</v>
      </c>
      <c r="G162" s="57" t="s">
        <v>386</v>
      </c>
      <c r="H162" s="57" t="s">
        <v>387</v>
      </c>
      <c r="I162" s="73" t="s">
        <v>40</v>
      </c>
      <c r="J162" s="73" t="s">
        <v>40</v>
      </c>
      <c r="K162" s="73" t="s">
        <v>711</v>
      </c>
      <c r="L162" s="73" t="s">
        <v>711</v>
      </c>
      <c r="M162" s="73" t="s">
        <v>388</v>
      </c>
      <c r="N162" s="73" t="s">
        <v>389</v>
      </c>
      <c r="O162" s="73" t="s">
        <v>390</v>
      </c>
      <c r="P162" s="73" t="s">
        <v>391</v>
      </c>
      <c r="Q162" s="73" t="s">
        <v>40</v>
      </c>
      <c r="R162" s="73" t="s">
        <v>40</v>
      </c>
      <c r="S162" s="57" t="s">
        <v>392</v>
      </c>
      <c r="T162" s="57" t="s">
        <v>393</v>
      </c>
      <c r="U162" s="57">
        <v>160</v>
      </c>
      <c r="V162" s="16"/>
      <c r="Z162" s="2" t="s">
        <v>350</v>
      </c>
      <c r="AA162" s="2">
        <v>15</v>
      </c>
      <c r="AB162" s="16"/>
    </row>
    <row r="163" spans="1:28" ht="15" customHeight="1" x14ac:dyDescent="0.15">
      <c r="A163" s="44"/>
      <c r="B163" s="29" t="s">
        <v>88</v>
      </c>
      <c r="C163" s="57">
        <v>110</v>
      </c>
      <c r="D163" s="57" t="s">
        <v>163</v>
      </c>
      <c r="E163" s="29">
        <v>15</v>
      </c>
      <c r="F163" s="29">
        <v>15</v>
      </c>
      <c r="G163" s="57" t="s">
        <v>386</v>
      </c>
      <c r="H163" s="57" t="s">
        <v>394</v>
      </c>
      <c r="I163" s="73" t="s">
        <v>40</v>
      </c>
      <c r="J163" s="73" t="s">
        <v>40</v>
      </c>
      <c r="K163" s="73" t="s">
        <v>711</v>
      </c>
      <c r="L163" s="73" t="s">
        <v>711</v>
      </c>
      <c r="M163" s="73" t="s">
        <v>395</v>
      </c>
      <c r="N163" s="73" t="s">
        <v>396</v>
      </c>
      <c r="O163" s="73" t="s">
        <v>397</v>
      </c>
      <c r="P163" s="73" t="s">
        <v>398</v>
      </c>
      <c r="Q163" s="73" t="s">
        <v>40</v>
      </c>
      <c r="R163" s="73" t="s">
        <v>40</v>
      </c>
      <c r="S163" s="57" t="s">
        <v>392</v>
      </c>
      <c r="T163" s="57" t="s">
        <v>393</v>
      </c>
      <c r="U163" s="57">
        <v>160</v>
      </c>
      <c r="V163" s="16"/>
      <c r="Z163" s="2" t="s">
        <v>351</v>
      </c>
      <c r="AA163" s="2">
        <v>16</v>
      </c>
      <c r="AB163" s="16"/>
    </row>
    <row r="164" spans="1:28" ht="15" customHeight="1" x14ac:dyDescent="0.15">
      <c r="A164" s="44"/>
      <c r="B164" s="29" t="s">
        <v>89</v>
      </c>
      <c r="C164" s="57">
        <v>135</v>
      </c>
      <c r="D164" s="57" t="s">
        <v>164</v>
      </c>
      <c r="E164" s="29">
        <v>22</v>
      </c>
      <c r="F164" s="29">
        <v>22</v>
      </c>
      <c r="G164" s="57" t="s">
        <v>399</v>
      </c>
      <c r="H164" s="57" t="s">
        <v>400</v>
      </c>
      <c r="I164" s="73" t="s">
        <v>40</v>
      </c>
      <c r="J164" s="73" t="s">
        <v>40</v>
      </c>
      <c r="K164" s="73" t="s">
        <v>40</v>
      </c>
      <c r="L164" s="73" t="s">
        <v>40</v>
      </c>
      <c r="M164" s="73" t="s">
        <v>711</v>
      </c>
      <c r="N164" s="73" t="s">
        <v>711</v>
      </c>
      <c r="O164" s="73" t="s">
        <v>401</v>
      </c>
      <c r="P164" s="73" t="s">
        <v>402</v>
      </c>
      <c r="Q164" s="73" t="s">
        <v>403</v>
      </c>
      <c r="R164" s="73" t="s">
        <v>404</v>
      </c>
      <c r="S164" s="57" t="s">
        <v>405</v>
      </c>
      <c r="T164" s="57" t="s">
        <v>406</v>
      </c>
      <c r="U164" s="57">
        <v>175</v>
      </c>
      <c r="V164" s="16"/>
      <c r="Z164" s="2" t="s">
        <v>352</v>
      </c>
      <c r="AA164" s="2">
        <v>17</v>
      </c>
      <c r="AB164" s="16"/>
    </row>
    <row r="165" spans="1:28" ht="15" customHeight="1" x14ac:dyDescent="0.15">
      <c r="A165" s="44"/>
      <c r="B165" s="29" t="s">
        <v>90</v>
      </c>
      <c r="C165" s="57">
        <v>135</v>
      </c>
      <c r="D165" s="57" t="s">
        <v>164</v>
      </c>
      <c r="E165" s="29">
        <v>22</v>
      </c>
      <c r="F165" s="29">
        <v>22</v>
      </c>
      <c r="G165" s="57" t="s">
        <v>399</v>
      </c>
      <c r="H165" s="57" t="s">
        <v>400</v>
      </c>
      <c r="I165" s="73" t="s">
        <v>40</v>
      </c>
      <c r="J165" s="73" t="s">
        <v>40</v>
      </c>
      <c r="K165" s="73" t="s">
        <v>40</v>
      </c>
      <c r="L165" s="73" t="s">
        <v>40</v>
      </c>
      <c r="M165" s="73" t="s">
        <v>711</v>
      </c>
      <c r="N165" s="73" t="s">
        <v>711</v>
      </c>
      <c r="O165" s="73" t="s">
        <v>711</v>
      </c>
      <c r="P165" s="73" t="s">
        <v>711</v>
      </c>
      <c r="Q165" s="73" t="s">
        <v>407</v>
      </c>
      <c r="R165" s="73" t="s">
        <v>408</v>
      </c>
      <c r="S165" s="57" t="s">
        <v>405</v>
      </c>
      <c r="T165" s="57" t="s">
        <v>406</v>
      </c>
      <c r="U165" s="57">
        <v>190</v>
      </c>
      <c r="V165" s="16"/>
      <c r="Z165" s="16"/>
      <c r="AA165" s="16"/>
      <c r="AB165" s="16"/>
    </row>
    <row r="166" spans="1:28" ht="15" customHeight="1" x14ac:dyDescent="0.15">
      <c r="A166" s="44"/>
      <c r="B166" s="43">
        <v>1</v>
      </c>
      <c r="C166" s="43">
        <v>2</v>
      </c>
      <c r="D166" s="43">
        <v>3</v>
      </c>
      <c r="E166" s="43">
        <v>4</v>
      </c>
      <c r="F166" s="43">
        <v>5</v>
      </c>
      <c r="G166" s="43">
        <v>6</v>
      </c>
      <c r="H166" s="43">
        <v>7</v>
      </c>
      <c r="I166" s="43">
        <v>8</v>
      </c>
      <c r="J166" s="43">
        <v>9</v>
      </c>
      <c r="K166" s="43">
        <v>10</v>
      </c>
      <c r="L166" s="43">
        <v>11</v>
      </c>
      <c r="M166" s="43">
        <v>12</v>
      </c>
      <c r="N166" s="43">
        <v>13</v>
      </c>
      <c r="O166" s="43">
        <v>14</v>
      </c>
      <c r="P166" s="43">
        <v>15</v>
      </c>
      <c r="Q166" s="43">
        <v>16</v>
      </c>
      <c r="R166" s="43">
        <v>17</v>
      </c>
      <c r="S166" s="43">
        <v>18</v>
      </c>
      <c r="T166" s="43">
        <v>19</v>
      </c>
      <c r="U166" s="43">
        <v>20</v>
      </c>
      <c r="V166" s="16"/>
    </row>
    <row r="167" spans="1:28" ht="15" customHeight="1" x14ac:dyDescent="0.15">
      <c r="A167" s="44"/>
      <c r="F167" s="2" t="s">
        <v>441</v>
      </c>
    </row>
    <row r="168" spans="1:28" ht="15" customHeight="1" x14ac:dyDescent="0.15">
      <c r="A168" s="44"/>
    </row>
    <row r="169" spans="1:28" ht="15" customHeight="1" x14ac:dyDescent="0.15">
      <c r="A169" s="44"/>
    </row>
    <row r="170" spans="1:28" ht="15" customHeight="1" x14ac:dyDescent="0.15">
      <c r="A170" s="44"/>
      <c r="D170" s="1" t="s">
        <v>335</v>
      </c>
      <c r="E170" s="1" t="s">
        <v>336</v>
      </c>
      <c r="F170" s="1" t="s">
        <v>337</v>
      </c>
    </row>
    <row r="171" spans="1:28" ht="15" customHeight="1" x14ac:dyDescent="0.15">
      <c r="A171" s="44"/>
      <c r="C171" s="1" t="s">
        <v>60</v>
      </c>
      <c r="D171" s="1" t="s">
        <v>338</v>
      </c>
      <c r="E171" s="1" t="s">
        <v>339</v>
      </c>
      <c r="F171" s="1" t="s">
        <v>340</v>
      </c>
      <c r="G171" s="1" t="s">
        <v>341</v>
      </c>
      <c r="H171" s="1" t="s">
        <v>342</v>
      </c>
      <c r="I171" s="1" t="s">
        <v>343</v>
      </c>
      <c r="J171" s="1" t="s">
        <v>344</v>
      </c>
      <c r="K171" s="1" t="s">
        <v>345</v>
      </c>
      <c r="L171" s="1" t="s">
        <v>346</v>
      </c>
      <c r="M171" s="1" t="s">
        <v>347</v>
      </c>
      <c r="N171" s="1" t="s">
        <v>348</v>
      </c>
      <c r="O171" s="1" t="s">
        <v>349</v>
      </c>
      <c r="P171" s="1" t="s">
        <v>350</v>
      </c>
      <c r="Q171" s="1" t="s">
        <v>351</v>
      </c>
      <c r="R171" s="1" t="s">
        <v>352</v>
      </c>
      <c r="S171" s="1" t="s">
        <v>353</v>
      </c>
      <c r="T171" s="1" t="s">
        <v>354</v>
      </c>
      <c r="U171" s="1" t="s">
        <v>468</v>
      </c>
    </row>
    <row r="172" spans="1:28" ht="15" customHeight="1" x14ac:dyDescent="0.15">
      <c r="A172" s="40" t="s">
        <v>409</v>
      </c>
      <c r="B172" s="29" t="s">
        <v>80</v>
      </c>
      <c r="C172" s="57">
        <v>90</v>
      </c>
      <c r="D172" s="57" t="s">
        <v>162</v>
      </c>
      <c r="E172" s="29">
        <v>11</v>
      </c>
      <c r="F172" s="29">
        <v>11</v>
      </c>
      <c r="G172" s="57" t="s">
        <v>370</v>
      </c>
      <c r="H172" s="57" t="s">
        <v>410</v>
      </c>
      <c r="I172" s="57" t="s">
        <v>40</v>
      </c>
      <c r="J172" s="57" t="s">
        <v>40</v>
      </c>
      <c r="K172" s="73" t="s">
        <v>40</v>
      </c>
      <c r="L172" s="57" t="s">
        <v>40</v>
      </c>
      <c r="M172" s="57" t="s">
        <v>411</v>
      </c>
      <c r="N172" s="57" t="s">
        <v>412</v>
      </c>
      <c r="O172" s="57" t="s">
        <v>40</v>
      </c>
      <c r="P172" s="57" t="s">
        <v>40</v>
      </c>
      <c r="Q172" s="57" t="s">
        <v>40</v>
      </c>
      <c r="R172" s="57" t="s">
        <v>40</v>
      </c>
      <c r="S172" s="57" t="s">
        <v>384</v>
      </c>
      <c r="T172" s="57" t="s">
        <v>369</v>
      </c>
      <c r="U172" s="57">
        <v>130</v>
      </c>
      <c r="V172" s="16"/>
    </row>
    <row r="173" spans="1:28" ht="15" customHeight="1" x14ac:dyDescent="0.15">
      <c r="A173" s="44"/>
      <c r="B173" s="29" t="s">
        <v>81</v>
      </c>
      <c r="C173" s="57">
        <v>90</v>
      </c>
      <c r="D173" s="57" t="s">
        <v>162</v>
      </c>
      <c r="E173" s="29">
        <v>11</v>
      </c>
      <c r="F173" s="29">
        <v>11</v>
      </c>
      <c r="G173" s="57" t="s">
        <v>370</v>
      </c>
      <c r="H173" s="57" t="s">
        <v>413</v>
      </c>
      <c r="I173" s="57" t="s">
        <v>40</v>
      </c>
      <c r="J173" s="57" t="s">
        <v>40</v>
      </c>
      <c r="K173" s="73" t="s">
        <v>40</v>
      </c>
      <c r="L173" s="57" t="s">
        <v>40</v>
      </c>
      <c r="M173" s="57" t="s">
        <v>414</v>
      </c>
      <c r="N173" s="57" t="s">
        <v>415</v>
      </c>
      <c r="O173" s="57" t="s">
        <v>40</v>
      </c>
      <c r="P173" s="57" t="s">
        <v>40</v>
      </c>
      <c r="Q173" s="57" t="s">
        <v>40</v>
      </c>
      <c r="R173" s="57" t="s">
        <v>40</v>
      </c>
      <c r="S173" s="57" t="s">
        <v>384</v>
      </c>
      <c r="T173" s="57" t="s">
        <v>369</v>
      </c>
      <c r="U173" s="57">
        <v>130</v>
      </c>
      <c r="V173" s="16"/>
    </row>
    <row r="174" spans="1:28" ht="15" customHeight="1" x14ac:dyDescent="0.15">
      <c r="A174" s="44"/>
      <c r="B174" s="29" t="s">
        <v>82</v>
      </c>
      <c r="C174" s="57">
        <v>90</v>
      </c>
      <c r="D174" s="57" t="s">
        <v>162</v>
      </c>
      <c r="E174" s="29">
        <v>11</v>
      </c>
      <c r="F174" s="29">
        <v>11</v>
      </c>
      <c r="G174" s="57" t="s">
        <v>370</v>
      </c>
      <c r="H174" s="57" t="s">
        <v>416</v>
      </c>
      <c r="I174" s="57" t="s">
        <v>40</v>
      </c>
      <c r="J174" s="57" t="s">
        <v>40</v>
      </c>
      <c r="K174" s="73" t="s">
        <v>40</v>
      </c>
      <c r="L174" s="57" t="s">
        <v>40</v>
      </c>
      <c r="M174" s="57" t="s">
        <v>417</v>
      </c>
      <c r="N174" s="57" t="s">
        <v>418</v>
      </c>
      <c r="O174" s="57" t="s">
        <v>40</v>
      </c>
      <c r="P174" s="57" t="s">
        <v>40</v>
      </c>
      <c r="Q174" s="57" t="s">
        <v>40</v>
      </c>
      <c r="R174" s="57" t="s">
        <v>40</v>
      </c>
      <c r="S174" s="57" t="s">
        <v>384</v>
      </c>
      <c r="T174" s="57" t="s">
        <v>369</v>
      </c>
      <c r="U174" s="57">
        <v>130</v>
      </c>
      <c r="V174" s="16"/>
    </row>
    <row r="175" spans="1:28" ht="15" customHeight="1" x14ac:dyDescent="0.15">
      <c r="A175" s="44"/>
      <c r="B175" s="29" t="s">
        <v>83</v>
      </c>
      <c r="C175" s="57">
        <v>100</v>
      </c>
      <c r="D175" s="57" t="s">
        <v>163</v>
      </c>
      <c r="E175" s="29">
        <v>15</v>
      </c>
      <c r="F175" s="29">
        <v>15</v>
      </c>
      <c r="G175" s="57" t="s">
        <v>378</v>
      </c>
      <c r="H175" s="57" t="s">
        <v>419</v>
      </c>
      <c r="I175" s="57" t="s">
        <v>40</v>
      </c>
      <c r="J175" s="57" t="s">
        <v>40</v>
      </c>
      <c r="K175" s="57" t="s">
        <v>40</v>
      </c>
      <c r="L175" s="57" t="s">
        <v>40</v>
      </c>
      <c r="M175" s="74" t="s">
        <v>711</v>
      </c>
      <c r="N175" s="74" t="s">
        <v>711</v>
      </c>
      <c r="O175" s="57" t="s">
        <v>420</v>
      </c>
      <c r="P175" s="57" t="s">
        <v>421</v>
      </c>
      <c r="Q175" s="57" t="s">
        <v>40</v>
      </c>
      <c r="R175" s="57" t="s">
        <v>40</v>
      </c>
      <c r="S175" s="57" t="s">
        <v>392</v>
      </c>
      <c r="T175" s="57" t="s">
        <v>385</v>
      </c>
      <c r="U175" s="57">
        <v>150</v>
      </c>
      <c r="V175" s="16"/>
    </row>
    <row r="176" spans="1:28" ht="15" customHeight="1" x14ac:dyDescent="0.15">
      <c r="A176" s="44"/>
      <c r="B176" s="29" t="s">
        <v>84</v>
      </c>
      <c r="C176" s="57">
        <v>100</v>
      </c>
      <c r="D176" s="57" t="s">
        <v>163</v>
      </c>
      <c r="E176" s="29">
        <v>15</v>
      </c>
      <c r="F176" s="29">
        <v>15</v>
      </c>
      <c r="G176" s="57" t="s">
        <v>378</v>
      </c>
      <c r="H176" s="57" t="s">
        <v>419</v>
      </c>
      <c r="I176" s="57" t="s">
        <v>40</v>
      </c>
      <c r="J176" s="57" t="s">
        <v>40</v>
      </c>
      <c r="K176" s="57" t="s">
        <v>40</v>
      </c>
      <c r="L176" s="57" t="s">
        <v>40</v>
      </c>
      <c r="M176" s="74" t="s">
        <v>711</v>
      </c>
      <c r="N176" s="74" t="s">
        <v>711</v>
      </c>
      <c r="O176" s="57" t="s">
        <v>420</v>
      </c>
      <c r="P176" s="57" t="s">
        <v>421</v>
      </c>
      <c r="Q176" s="57" t="s">
        <v>40</v>
      </c>
      <c r="R176" s="57" t="s">
        <v>40</v>
      </c>
      <c r="S176" s="57" t="s">
        <v>392</v>
      </c>
      <c r="T176" s="57" t="s">
        <v>385</v>
      </c>
      <c r="U176" s="57">
        <v>150</v>
      </c>
      <c r="V176" s="16"/>
    </row>
    <row r="177" spans="1:22" ht="15" customHeight="1" x14ac:dyDescent="0.15">
      <c r="A177" s="44"/>
      <c r="B177" s="29" t="s">
        <v>85</v>
      </c>
      <c r="C177" s="57">
        <v>100</v>
      </c>
      <c r="D177" s="57" t="s">
        <v>163</v>
      </c>
      <c r="E177" s="29">
        <v>15</v>
      </c>
      <c r="F177" s="29">
        <v>15</v>
      </c>
      <c r="G177" s="57" t="s">
        <v>378</v>
      </c>
      <c r="H177" s="57" t="s">
        <v>422</v>
      </c>
      <c r="I177" s="57" t="s">
        <v>40</v>
      </c>
      <c r="J177" s="57" t="s">
        <v>40</v>
      </c>
      <c r="K177" s="57" t="s">
        <v>40</v>
      </c>
      <c r="L177" s="57" t="s">
        <v>40</v>
      </c>
      <c r="M177" s="74" t="s">
        <v>711</v>
      </c>
      <c r="N177" s="74" t="s">
        <v>711</v>
      </c>
      <c r="O177" s="57" t="s">
        <v>423</v>
      </c>
      <c r="P177" s="57" t="s">
        <v>424</v>
      </c>
      <c r="Q177" s="57" t="s">
        <v>40</v>
      </c>
      <c r="R177" s="57" t="s">
        <v>40</v>
      </c>
      <c r="S177" s="57" t="s">
        <v>392</v>
      </c>
      <c r="T177" s="57" t="s">
        <v>385</v>
      </c>
      <c r="U177" s="57">
        <v>150</v>
      </c>
      <c r="V177" s="16"/>
    </row>
    <row r="178" spans="1:22" ht="15" customHeight="1" x14ac:dyDescent="0.15">
      <c r="A178" s="44"/>
      <c r="B178" s="29" t="s">
        <v>86</v>
      </c>
      <c r="C178" s="57">
        <v>110</v>
      </c>
      <c r="D178" s="57" t="s">
        <v>163</v>
      </c>
      <c r="E178" s="29">
        <v>18.5</v>
      </c>
      <c r="F178" s="29">
        <v>18.5</v>
      </c>
      <c r="G178" s="57" t="s">
        <v>386</v>
      </c>
      <c r="H178" s="57" t="s">
        <v>425</v>
      </c>
      <c r="I178" s="57" t="s">
        <v>40</v>
      </c>
      <c r="J178" s="57" t="s">
        <v>40</v>
      </c>
      <c r="K178" s="57" t="s">
        <v>40</v>
      </c>
      <c r="L178" s="57" t="s">
        <v>40</v>
      </c>
      <c r="M178" s="74" t="s">
        <v>711</v>
      </c>
      <c r="N178" s="74" t="s">
        <v>711</v>
      </c>
      <c r="O178" s="57" t="s">
        <v>426</v>
      </c>
      <c r="P178" s="57" t="s">
        <v>427</v>
      </c>
      <c r="Q178" s="57" t="s">
        <v>40</v>
      </c>
      <c r="R178" s="57" t="s">
        <v>40</v>
      </c>
      <c r="S178" s="57" t="s">
        <v>392</v>
      </c>
      <c r="T178" s="57" t="s">
        <v>393</v>
      </c>
      <c r="U178" s="57">
        <v>160</v>
      </c>
      <c r="V178" s="16"/>
    </row>
    <row r="179" spans="1:22" ht="15" customHeight="1" x14ac:dyDescent="0.15">
      <c r="A179" s="44"/>
      <c r="B179" s="29" t="s">
        <v>87</v>
      </c>
      <c r="C179" s="57">
        <v>125</v>
      </c>
      <c r="D179" s="57" t="s">
        <v>164</v>
      </c>
      <c r="E179" s="29">
        <v>22</v>
      </c>
      <c r="F179" s="29">
        <v>22</v>
      </c>
      <c r="G179" s="57" t="s">
        <v>428</v>
      </c>
      <c r="H179" s="57" t="s">
        <v>429</v>
      </c>
      <c r="I179" s="57" t="s">
        <v>40</v>
      </c>
      <c r="J179" s="57" t="s">
        <v>40</v>
      </c>
      <c r="K179" s="57" t="s">
        <v>40</v>
      </c>
      <c r="L179" s="57" t="s">
        <v>40</v>
      </c>
      <c r="M179" s="74" t="s">
        <v>711</v>
      </c>
      <c r="N179" s="74" t="s">
        <v>711</v>
      </c>
      <c r="O179" s="74" t="s">
        <v>711</v>
      </c>
      <c r="P179" s="73" t="s">
        <v>430</v>
      </c>
      <c r="Q179" s="57" t="s">
        <v>431</v>
      </c>
      <c r="R179" s="57" t="s">
        <v>432</v>
      </c>
      <c r="S179" s="57" t="s">
        <v>405</v>
      </c>
      <c r="T179" s="57" t="s">
        <v>406</v>
      </c>
      <c r="U179" s="57">
        <v>180</v>
      </c>
      <c r="V179" s="16"/>
    </row>
    <row r="180" spans="1:22" ht="15" customHeight="1" x14ac:dyDescent="0.15">
      <c r="A180" s="44"/>
      <c r="B180" s="29" t="s">
        <v>88</v>
      </c>
      <c r="C180" s="57">
        <v>135</v>
      </c>
      <c r="D180" s="57" t="s">
        <v>164</v>
      </c>
      <c r="E180" s="29">
        <v>22</v>
      </c>
      <c r="F180" s="29">
        <v>22</v>
      </c>
      <c r="G180" s="57" t="s">
        <v>433</v>
      </c>
      <c r="H180" s="57" t="s">
        <v>434</v>
      </c>
      <c r="I180" s="57" t="s">
        <v>40</v>
      </c>
      <c r="J180" s="57" t="s">
        <v>40</v>
      </c>
      <c r="K180" s="57" t="s">
        <v>40</v>
      </c>
      <c r="L180" s="57" t="s">
        <v>40</v>
      </c>
      <c r="M180" s="74" t="s">
        <v>711</v>
      </c>
      <c r="N180" s="74" t="s">
        <v>711</v>
      </c>
      <c r="O180" s="73" t="s">
        <v>435</v>
      </c>
      <c r="P180" s="74" t="s">
        <v>711</v>
      </c>
      <c r="Q180" s="57" t="s">
        <v>436</v>
      </c>
      <c r="R180" s="57" t="s">
        <v>437</v>
      </c>
      <c r="S180" s="57" t="s">
        <v>438</v>
      </c>
      <c r="T180" s="57" t="s">
        <v>406</v>
      </c>
      <c r="U180" s="57">
        <v>180</v>
      </c>
      <c r="V180" s="16"/>
    </row>
    <row r="181" spans="1:22" ht="15" customHeight="1" x14ac:dyDescent="0.15">
      <c r="A181" s="44"/>
      <c r="B181" s="29" t="s">
        <v>89</v>
      </c>
      <c r="C181" s="57">
        <v>150</v>
      </c>
      <c r="D181" s="57" t="s">
        <v>164</v>
      </c>
      <c r="E181" s="29">
        <v>22</v>
      </c>
      <c r="F181" s="29">
        <v>22</v>
      </c>
      <c r="G181" s="57" t="s">
        <v>439</v>
      </c>
      <c r="H181" s="57" t="s">
        <v>440</v>
      </c>
      <c r="I181" s="57" t="s">
        <v>40</v>
      </c>
      <c r="J181" s="57" t="s">
        <v>40</v>
      </c>
      <c r="K181" s="57" t="s">
        <v>40</v>
      </c>
      <c r="L181" s="57" t="s">
        <v>40</v>
      </c>
      <c r="M181" s="74" t="s">
        <v>711</v>
      </c>
      <c r="N181" s="74" t="s">
        <v>711</v>
      </c>
      <c r="O181" s="74" t="s">
        <v>711</v>
      </c>
      <c r="P181" s="74" t="s">
        <v>711</v>
      </c>
      <c r="Q181" s="74" t="s">
        <v>711</v>
      </c>
      <c r="R181" s="74" t="s">
        <v>711</v>
      </c>
      <c r="S181" s="57" t="s">
        <v>438</v>
      </c>
      <c r="T181" s="57" t="s">
        <v>406</v>
      </c>
      <c r="U181" s="57">
        <v>190</v>
      </c>
      <c r="V181" s="16"/>
    </row>
    <row r="182" spans="1:22" ht="15" customHeight="1" x14ac:dyDescent="0.15">
      <c r="A182" s="44"/>
      <c r="B182" s="29" t="s">
        <v>90</v>
      </c>
      <c r="C182" s="57">
        <v>150</v>
      </c>
      <c r="D182" s="57" t="s">
        <v>164</v>
      </c>
      <c r="E182" s="29">
        <v>22</v>
      </c>
      <c r="F182" s="29">
        <v>22</v>
      </c>
      <c r="G182" s="57" t="s">
        <v>439</v>
      </c>
      <c r="H182" s="57" t="s">
        <v>440</v>
      </c>
      <c r="I182" s="57" t="s">
        <v>40</v>
      </c>
      <c r="J182" s="57" t="s">
        <v>40</v>
      </c>
      <c r="K182" s="57" t="s">
        <v>40</v>
      </c>
      <c r="L182" s="57" t="s">
        <v>40</v>
      </c>
      <c r="M182" s="74" t="s">
        <v>711</v>
      </c>
      <c r="N182" s="74" t="s">
        <v>711</v>
      </c>
      <c r="O182" s="74" t="s">
        <v>711</v>
      </c>
      <c r="P182" s="74" t="s">
        <v>711</v>
      </c>
      <c r="Q182" s="74" t="s">
        <v>711</v>
      </c>
      <c r="R182" s="74" t="s">
        <v>711</v>
      </c>
      <c r="S182" s="57" t="s">
        <v>438</v>
      </c>
      <c r="T182" s="57" t="s">
        <v>406</v>
      </c>
      <c r="U182" s="57">
        <v>190</v>
      </c>
      <c r="V182" s="16"/>
    </row>
    <row r="183" spans="1:22" ht="15" customHeight="1" x14ac:dyDescent="0.15">
      <c r="A183" s="44"/>
      <c r="B183" s="43">
        <v>1</v>
      </c>
      <c r="C183" s="43">
        <v>2</v>
      </c>
      <c r="D183" s="43">
        <v>3</v>
      </c>
      <c r="E183" s="43">
        <v>4</v>
      </c>
      <c r="F183" s="43">
        <v>5</v>
      </c>
      <c r="G183" s="43">
        <v>6</v>
      </c>
      <c r="H183" s="43">
        <v>7</v>
      </c>
      <c r="I183" s="43">
        <v>8</v>
      </c>
      <c r="J183" s="43">
        <v>9</v>
      </c>
      <c r="K183" s="43">
        <v>10</v>
      </c>
      <c r="L183" s="43">
        <v>11</v>
      </c>
      <c r="M183" s="43">
        <v>12</v>
      </c>
      <c r="N183" s="43">
        <v>13</v>
      </c>
      <c r="O183" s="43">
        <v>14</v>
      </c>
      <c r="P183" s="43">
        <v>15</v>
      </c>
      <c r="Q183" s="43">
        <v>16</v>
      </c>
      <c r="R183" s="43">
        <v>17</v>
      </c>
      <c r="S183" s="43">
        <v>18</v>
      </c>
      <c r="T183" s="43">
        <v>19</v>
      </c>
      <c r="U183" s="43">
        <v>20</v>
      </c>
      <c r="V183" s="16"/>
    </row>
    <row r="184" spans="1:22" ht="15" customHeight="1" x14ac:dyDescent="0.15">
      <c r="A184" s="44"/>
      <c r="F184" s="2" t="s">
        <v>441</v>
      </c>
    </row>
    <row r="185" spans="1:22" ht="15" customHeight="1" x14ac:dyDescent="0.15">
      <c r="A185" s="44"/>
    </row>
    <row r="186" spans="1:22" ht="15" customHeight="1" x14ac:dyDescent="0.15">
      <c r="A186" s="44"/>
    </row>
    <row r="187" spans="1:22" ht="15" customHeight="1" x14ac:dyDescent="0.15">
      <c r="A187" s="44"/>
    </row>
    <row r="188" spans="1:22" ht="15" customHeight="1" x14ac:dyDescent="0.15">
      <c r="A188" s="44"/>
    </row>
    <row r="189" spans="1:22" ht="15" customHeight="1" x14ac:dyDescent="0.15">
      <c r="A189" s="44"/>
      <c r="C189" s="1"/>
      <c r="D189" s="1"/>
      <c r="E189" s="1"/>
      <c r="F189" s="1"/>
      <c r="G189" s="1"/>
    </row>
    <row r="190" spans="1:22" ht="15" customHeight="1" x14ac:dyDescent="0.15">
      <c r="A190" s="44"/>
      <c r="B190" s="2" t="s">
        <v>814</v>
      </c>
      <c r="C190" s="1">
        <v>115</v>
      </c>
      <c r="D190" s="1">
        <v>125</v>
      </c>
      <c r="E190" s="1">
        <v>135</v>
      </c>
      <c r="F190" s="1"/>
      <c r="G190" s="1"/>
      <c r="H190" s="16"/>
    </row>
    <row r="191" spans="1:22" ht="15" customHeight="1" x14ac:dyDescent="0.15">
      <c r="A191" s="44"/>
      <c r="B191" s="2" t="s">
        <v>815</v>
      </c>
      <c r="C191" s="1">
        <v>115</v>
      </c>
      <c r="D191" s="1">
        <v>125</v>
      </c>
      <c r="E191" s="1">
        <v>135</v>
      </c>
      <c r="F191" s="1"/>
      <c r="G191" s="1"/>
      <c r="H191" s="16"/>
    </row>
    <row r="192" spans="1:22" ht="15" customHeight="1" x14ac:dyDescent="0.15">
      <c r="A192" s="44"/>
      <c r="B192" s="2" t="s">
        <v>816</v>
      </c>
      <c r="C192" s="1">
        <v>115</v>
      </c>
      <c r="D192" s="1">
        <v>125</v>
      </c>
      <c r="E192" s="1">
        <v>135</v>
      </c>
      <c r="F192" s="1"/>
      <c r="G192" s="1"/>
      <c r="H192" s="16"/>
    </row>
    <row r="193" spans="1:8" ht="15" customHeight="1" x14ac:dyDescent="0.15">
      <c r="A193" s="44"/>
      <c r="B193" s="2" t="s">
        <v>817</v>
      </c>
      <c r="C193" s="1">
        <v>115</v>
      </c>
      <c r="D193" s="1">
        <v>125</v>
      </c>
      <c r="E193" s="1">
        <v>135</v>
      </c>
      <c r="F193" s="1"/>
      <c r="G193" s="1"/>
      <c r="H193" s="16"/>
    </row>
    <row r="194" spans="1:8" ht="15" customHeight="1" x14ac:dyDescent="0.15">
      <c r="A194" s="44"/>
      <c r="B194" s="2" t="s">
        <v>818</v>
      </c>
      <c r="C194" s="1">
        <v>115</v>
      </c>
      <c r="D194" s="1">
        <v>125</v>
      </c>
      <c r="E194" s="1">
        <v>135</v>
      </c>
      <c r="F194" s="1"/>
      <c r="G194" s="1"/>
      <c r="H194" s="16"/>
    </row>
    <row r="195" spans="1:8" ht="15" customHeight="1" x14ac:dyDescent="0.15">
      <c r="A195" s="44"/>
      <c r="B195" s="2" t="s">
        <v>811</v>
      </c>
      <c r="C195" s="1">
        <v>115</v>
      </c>
      <c r="D195" s="1">
        <v>125</v>
      </c>
      <c r="E195" s="1">
        <v>135</v>
      </c>
      <c r="F195" s="1">
        <v>150</v>
      </c>
      <c r="G195" s="1">
        <v>160</v>
      </c>
      <c r="H195" s="16"/>
    </row>
    <row r="196" spans="1:8" ht="15" customHeight="1" x14ac:dyDescent="0.15">
      <c r="A196" s="44"/>
      <c r="B196" s="2" t="s">
        <v>812</v>
      </c>
      <c r="C196" s="1">
        <v>115</v>
      </c>
      <c r="D196" s="1">
        <v>125</v>
      </c>
      <c r="E196" s="1">
        <v>135</v>
      </c>
      <c r="F196" s="1">
        <v>150</v>
      </c>
      <c r="G196" s="1">
        <v>160</v>
      </c>
      <c r="H196" s="16"/>
    </row>
    <row r="197" spans="1:8" ht="15" customHeight="1" x14ac:dyDescent="0.15">
      <c r="A197" s="44"/>
      <c r="B197" s="2" t="s">
        <v>813</v>
      </c>
      <c r="C197" s="1">
        <v>115</v>
      </c>
      <c r="D197" s="1">
        <v>125</v>
      </c>
      <c r="E197" s="1">
        <v>135</v>
      </c>
      <c r="F197" s="1">
        <v>150</v>
      </c>
      <c r="G197" s="1">
        <v>160</v>
      </c>
      <c r="H197" s="16"/>
    </row>
    <row r="198" spans="1:8" ht="15" customHeight="1" x14ac:dyDescent="0.15">
      <c r="A198" s="44"/>
      <c r="B198" s="16"/>
      <c r="C198" s="16"/>
      <c r="D198" s="16"/>
      <c r="E198" s="16"/>
      <c r="F198" s="16"/>
      <c r="G198" s="16"/>
      <c r="H198" s="16"/>
    </row>
    <row r="199" spans="1:8" ht="15" customHeight="1" x14ac:dyDescent="0.15">
      <c r="A199" s="44"/>
    </row>
    <row r="200" spans="1:8" ht="15" customHeight="1" x14ac:dyDescent="0.15">
      <c r="A200" s="44"/>
    </row>
    <row r="201" spans="1:8" ht="15" customHeight="1" x14ac:dyDescent="0.15">
      <c r="A201" s="44"/>
    </row>
    <row r="202" spans="1:8" ht="15" customHeight="1" x14ac:dyDescent="0.15">
      <c r="A202" s="44"/>
    </row>
    <row r="203" spans="1:8" ht="15" customHeight="1" x14ac:dyDescent="0.15">
      <c r="A203" s="44"/>
    </row>
    <row r="204" spans="1:8" ht="15" customHeight="1" x14ac:dyDescent="0.15">
      <c r="A204" s="44"/>
    </row>
    <row r="205" spans="1:8" ht="15" customHeight="1" x14ac:dyDescent="0.15">
      <c r="A205" s="44"/>
    </row>
    <row r="206" spans="1:8" ht="15" customHeight="1" x14ac:dyDescent="0.15">
      <c r="A206" s="44"/>
    </row>
    <row r="207" spans="1:8" ht="15" customHeight="1" x14ac:dyDescent="0.15">
      <c r="A207" s="44"/>
    </row>
    <row r="208" spans="1:8" ht="15" customHeight="1" x14ac:dyDescent="0.15">
      <c r="A208" s="44"/>
    </row>
    <row r="209" spans="1:14" ht="15" customHeight="1" x14ac:dyDescent="0.15">
      <c r="A209" s="44"/>
    </row>
    <row r="210" spans="1:14" ht="15" customHeight="1" x14ac:dyDescent="0.15">
      <c r="A210" s="44"/>
    </row>
    <row r="211" spans="1:14" ht="15" customHeight="1" x14ac:dyDescent="0.15">
      <c r="A211" s="44"/>
    </row>
    <row r="212" spans="1:14" ht="15" customHeight="1" x14ac:dyDescent="0.15">
      <c r="A212" s="44"/>
    </row>
    <row r="213" spans="1:14" ht="15" customHeight="1" x14ac:dyDescent="0.15">
      <c r="A213" s="44"/>
    </row>
    <row r="214" spans="1:14" ht="15" customHeight="1" x14ac:dyDescent="0.15">
      <c r="A214" s="44"/>
    </row>
    <row r="215" spans="1:14" ht="15" customHeight="1" x14ac:dyDescent="0.15">
      <c r="A215" s="44"/>
    </row>
    <row r="216" spans="1:14" ht="15" customHeight="1" x14ac:dyDescent="0.15">
      <c r="A216" s="44"/>
    </row>
    <row r="217" spans="1:14" ht="15" customHeight="1" x14ac:dyDescent="0.15">
      <c r="A217" s="44"/>
    </row>
    <row r="218" spans="1:14" ht="15" customHeight="1" x14ac:dyDescent="0.15">
      <c r="A218" s="44"/>
    </row>
    <row r="219" spans="1:14" ht="15" customHeight="1" x14ac:dyDescent="0.15">
      <c r="A219" s="44"/>
    </row>
    <row r="220" spans="1:14" ht="15" customHeight="1" x14ac:dyDescent="0.15">
      <c r="A220" s="44"/>
    </row>
    <row r="221" spans="1:14" ht="15" customHeight="1" x14ac:dyDescent="0.15">
      <c r="A221" s="44"/>
      <c r="B221" s="2" t="s">
        <v>509</v>
      </c>
    </row>
    <row r="222" spans="1:14" ht="15" customHeight="1" x14ac:dyDescent="0.15">
      <c r="A222" s="44"/>
      <c r="B222" s="42" t="s">
        <v>497</v>
      </c>
      <c r="C222" s="42" t="s">
        <v>498</v>
      </c>
      <c r="D222" s="42" t="s">
        <v>499</v>
      </c>
      <c r="E222" s="42" t="s">
        <v>500</v>
      </c>
      <c r="F222" s="42" t="s">
        <v>501</v>
      </c>
      <c r="G222" s="42" t="s">
        <v>502</v>
      </c>
      <c r="H222" s="42" t="s">
        <v>503</v>
      </c>
      <c r="I222" s="42" t="s">
        <v>504</v>
      </c>
      <c r="J222" s="42" t="s">
        <v>505</v>
      </c>
      <c r="K222" s="42" t="s">
        <v>506</v>
      </c>
      <c r="L222" s="42" t="s">
        <v>507</v>
      </c>
      <c r="M222" s="42" t="s">
        <v>508</v>
      </c>
    </row>
    <row r="223" spans="1:14" ht="15" customHeight="1" x14ac:dyDescent="0.15">
      <c r="A223" s="44" t="s">
        <v>509</v>
      </c>
      <c r="B223" s="73">
        <v>1.5</v>
      </c>
      <c r="C223" s="73">
        <v>3.5</v>
      </c>
      <c r="D223" s="73">
        <v>3.5</v>
      </c>
      <c r="E223" s="73">
        <v>3.5</v>
      </c>
      <c r="F223" s="73">
        <v>3.5</v>
      </c>
      <c r="G223" s="73">
        <v>3.5</v>
      </c>
      <c r="H223" s="73">
        <v>3.5</v>
      </c>
      <c r="I223" s="73">
        <v>3.5</v>
      </c>
      <c r="J223" s="73">
        <v>3.5</v>
      </c>
      <c r="K223" s="73">
        <v>3.5</v>
      </c>
      <c r="L223" s="73">
        <v>3.5</v>
      </c>
      <c r="M223" s="73">
        <v>3.5</v>
      </c>
      <c r="N223" s="17"/>
    </row>
    <row r="224" spans="1:14" ht="15" customHeight="1" x14ac:dyDescent="0.15">
      <c r="A224" s="44"/>
      <c r="B224" s="73">
        <v>2.2000000000000002</v>
      </c>
      <c r="C224" s="73">
        <v>3.5</v>
      </c>
      <c r="D224" s="73">
        <v>3.5</v>
      </c>
      <c r="E224" s="73">
        <v>3.5</v>
      </c>
      <c r="F224" s="73">
        <v>3.5</v>
      </c>
      <c r="G224" s="73">
        <v>3.5</v>
      </c>
      <c r="H224" s="73">
        <v>3.5</v>
      </c>
      <c r="I224" s="73">
        <v>3.5</v>
      </c>
      <c r="J224" s="73">
        <v>3.5</v>
      </c>
      <c r="K224" s="73">
        <v>3.5</v>
      </c>
      <c r="L224" s="73">
        <v>3.5</v>
      </c>
      <c r="M224" s="73">
        <v>3.5</v>
      </c>
      <c r="N224" s="17"/>
    </row>
    <row r="225" spans="1:14" ht="15" customHeight="1" x14ac:dyDescent="0.15">
      <c r="A225" s="44"/>
      <c r="B225" s="73">
        <v>3</v>
      </c>
      <c r="C225" s="73">
        <v>3.5</v>
      </c>
      <c r="D225" s="73">
        <v>3.5</v>
      </c>
      <c r="E225" s="73">
        <v>3.5</v>
      </c>
      <c r="F225" s="73">
        <v>3.5</v>
      </c>
      <c r="G225" s="73">
        <v>3.5</v>
      </c>
      <c r="H225" s="73">
        <v>3.5</v>
      </c>
      <c r="I225" s="73">
        <v>3.5</v>
      </c>
      <c r="J225" s="73">
        <v>3.5</v>
      </c>
      <c r="K225" s="73">
        <v>3.5</v>
      </c>
      <c r="L225" s="73">
        <v>3.5</v>
      </c>
      <c r="M225" s="73">
        <v>3.5</v>
      </c>
      <c r="N225" s="17"/>
    </row>
    <row r="226" spans="1:14" ht="15" customHeight="1" x14ac:dyDescent="0.15">
      <c r="A226" s="44"/>
      <c r="B226" s="73">
        <v>4</v>
      </c>
      <c r="C226" s="57">
        <v>3.5</v>
      </c>
      <c r="D226" s="57">
        <v>3.5</v>
      </c>
      <c r="E226" s="57">
        <v>3.5</v>
      </c>
      <c r="F226" s="57">
        <v>3.5</v>
      </c>
      <c r="G226" s="57">
        <v>3.5</v>
      </c>
      <c r="H226" s="57">
        <v>3.5</v>
      </c>
      <c r="I226" s="57">
        <v>3.5</v>
      </c>
      <c r="J226" s="57">
        <v>3.5</v>
      </c>
      <c r="K226" s="57">
        <v>3.5</v>
      </c>
      <c r="L226" s="57">
        <v>3.5</v>
      </c>
      <c r="M226" s="57">
        <v>3.5</v>
      </c>
      <c r="N226" s="17"/>
    </row>
    <row r="227" spans="1:14" ht="15" customHeight="1" x14ac:dyDescent="0.15">
      <c r="A227" s="44"/>
      <c r="B227" s="73">
        <v>5.5</v>
      </c>
      <c r="C227" s="57">
        <v>3.5</v>
      </c>
      <c r="D227" s="57">
        <v>3.5</v>
      </c>
      <c r="E227" s="57">
        <v>3.5</v>
      </c>
      <c r="F227" s="57">
        <v>3.5</v>
      </c>
      <c r="G227" s="57">
        <v>3.5</v>
      </c>
      <c r="H227" s="57">
        <v>3.5</v>
      </c>
      <c r="I227" s="57">
        <v>3.5</v>
      </c>
      <c r="J227" s="57">
        <v>3.5</v>
      </c>
      <c r="K227" s="57">
        <v>3.5</v>
      </c>
      <c r="L227" s="57">
        <v>3.5</v>
      </c>
      <c r="M227" s="57">
        <v>3.5</v>
      </c>
      <c r="N227" s="17"/>
    </row>
    <row r="228" spans="1:14" ht="15" customHeight="1" x14ac:dyDescent="0.15">
      <c r="A228" s="44"/>
      <c r="B228" s="73">
        <v>7.5</v>
      </c>
      <c r="C228" s="57">
        <v>3.5</v>
      </c>
      <c r="D228" s="57">
        <v>3.5</v>
      </c>
      <c r="E228" s="57">
        <v>3.5</v>
      </c>
      <c r="F228" s="57">
        <v>3.5</v>
      </c>
      <c r="G228" s="57">
        <v>3.5</v>
      </c>
      <c r="H228" s="57">
        <v>3.5</v>
      </c>
      <c r="I228" s="57">
        <v>3.5</v>
      </c>
      <c r="J228" s="57">
        <v>3.5</v>
      </c>
      <c r="K228" s="57">
        <v>3.5</v>
      </c>
      <c r="L228" s="57">
        <v>3.5</v>
      </c>
      <c r="M228" s="57">
        <v>3.5</v>
      </c>
      <c r="N228" s="17"/>
    </row>
    <row r="229" spans="1:14" ht="15" customHeight="1" x14ac:dyDescent="0.15">
      <c r="A229" s="44"/>
      <c r="B229" s="73">
        <v>8</v>
      </c>
      <c r="C229" s="57">
        <v>3.5</v>
      </c>
      <c r="D229" s="57">
        <v>3.5</v>
      </c>
      <c r="E229" s="57">
        <v>3.5</v>
      </c>
      <c r="F229" s="57">
        <v>3.5</v>
      </c>
      <c r="G229" s="57">
        <v>3.5</v>
      </c>
      <c r="H229" s="57">
        <v>3.5</v>
      </c>
      <c r="I229" s="57">
        <v>3.5</v>
      </c>
      <c r="J229" s="57">
        <v>3.5</v>
      </c>
      <c r="K229" s="57">
        <v>3.5</v>
      </c>
      <c r="L229" s="57">
        <v>3.5</v>
      </c>
      <c r="M229" s="57">
        <v>3.5</v>
      </c>
      <c r="N229" s="17"/>
    </row>
    <row r="230" spans="1:14" ht="15" customHeight="1" x14ac:dyDescent="0.15">
      <c r="A230" s="44"/>
      <c r="B230" s="73">
        <v>9.1999999999999993</v>
      </c>
      <c r="C230" s="57">
        <v>3.5</v>
      </c>
      <c r="D230" s="57">
        <v>3.5</v>
      </c>
      <c r="E230" s="57">
        <v>3.5</v>
      </c>
      <c r="F230" s="57">
        <v>3.5</v>
      </c>
      <c r="G230" s="57">
        <v>3.5</v>
      </c>
      <c r="H230" s="57">
        <v>3.5</v>
      </c>
      <c r="I230" s="57">
        <v>3.5</v>
      </c>
      <c r="J230" s="57">
        <v>3.5</v>
      </c>
      <c r="K230" s="57">
        <v>3.5</v>
      </c>
      <c r="L230" s="57">
        <v>3.5</v>
      </c>
      <c r="M230" s="57">
        <v>3.5</v>
      </c>
      <c r="N230" s="17"/>
    </row>
    <row r="231" spans="1:14" ht="15" customHeight="1" x14ac:dyDescent="0.15">
      <c r="A231" s="44"/>
      <c r="B231" s="73">
        <v>11</v>
      </c>
      <c r="C231" s="57">
        <v>3.5</v>
      </c>
      <c r="D231" s="57">
        <v>3.5</v>
      </c>
      <c r="E231" s="57">
        <v>3.5</v>
      </c>
      <c r="F231" s="57">
        <v>3.5</v>
      </c>
      <c r="G231" s="57">
        <v>3.5</v>
      </c>
      <c r="H231" s="57">
        <v>3.5</v>
      </c>
      <c r="I231" s="57">
        <v>3.5</v>
      </c>
      <c r="J231" s="57">
        <v>3.5</v>
      </c>
      <c r="K231" s="57">
        <v>3.5</v>
      </c>
      <c r="L231" s="57">
        <v>3.5</v>
      </c>
      <c r="M231" s="57">
        <v>3.5</v>
      </c>
      <c r="N231" s="17"/>
    </row>
    <row r="232" spans="1:14" ht="15" customHeight="1" x14ac:dyDescent="0.15">
      <c r="A232" s="44"/>
      <c r="B232" s="73">
        <v>15</v>
      </c>
      <c r="C232" s="57">
        <v>4</v>
      </c>
      <c r="D232" s="57">
        <v>4</v>
      </c>
      <c r="E232" s="57">
        <v>4</v>
      </c>
      <c r="F232" s="57">
        <v>4</v>
      </c>
      <c r="G232" s="57">
        <v>4</v>
      </c>
      <c r="H232" s="57">
        <v>4</v>
      </c>
      <c r="I232" s="57">
        <v>4</v>
      </c>
      <c r="J232" s="57">
        <v>4</v>
      </c>
      <c r="K232" s="57">
        <v>4</v>
      </c>
      <c r="L232" s="57">
        <v>4</v>
      </c>
      <c r="M232" s="57">
        <v>4</v>
      </c>
      <c r="N232" s="17"/>
    </row>
    <row r="233" spans="1:14" ht="15" customHeight="1" x14ac:dyDescent="0.15">
      <c r="A233" s="44"/>
      <c r="B233" s="73">
        <v>18.399999999999999</v>
      </c>
      <c r="C233" s="57">
        <v>4</v>
      </c>
      <c r="D233" s="57">
        <v>4</v>
      </c>
      <c r="E233" s="57">
        <v>4</v>
      </c>
      <c r="F233" s="57">
        <v>4</v>
      </c>
      <c r="G233" s="57">
        <v>4</v>
      </c>
      <c r="H233" s="57">
        <v>4</v>
      </c>
      <c r="I233" s="57">
        <v>4</v>
      </c>
      <c r="J233" s="57">
        <v>4</v>
      </c>
      <c r="K233" s="57">
        <v>4</v>
      </c>
      <c r="L233" s="57">
        <v>4</v>
      </c>
      <c r="M233" s="57">
        <v>4</v>
      </c>
      <c r="N233" s="17"/>
    </row>
    <row r="234" spans="1:14" ht="15" customHeight="1" x14ac:dyDescent="0.15">
      <c r="A234" s="44"/>
      <c r="B234" s="73">
        <v>18.5</v>
      </c>
      <c r="C234" s="57">
        <v>4</v>
      </c>
      <c r="D234" s="57">
        <v>4</v>
      </c>
      <c r="E234" s="57">
        <v>4</v>
      </c>
      <c r="F234" s="57">
        <v>4</v>
      </c>
      <c r="G234" s="57">
        <v>4</v>
      </c>
      <c r="H234" s="57">
        <v>4</v>
      </c>
      <c r="I234" s="57">
        <v>4</v>
      </c>
      <c r="J234" s="57">
        <v>4</v>
      </c>
      <c r="K234" s="57">
        <v>4</v>
      </c>
      <c r="L234" s="57">
        <v>4</v>
      </c>
      <c r="M234" s="57">
        <v>4</v>
      </c>
      <c r="N234" s="17"/>
    </row>
    <row r="235" spans="1:14" ht="15" customHeight="1" x14ac:dyDescent="0.15">
      <c r="A235" s="44"/>
      <c r="B235" s="73">
        <v>22</v>
      </c>
      <c r="C235" s="57">
        <v>5</v>
      </c>
      <c r="D235" s="57">
        <v>5</v>
      </c>
      <c r="E235" s="57">
        <v>5</v>
      </c>
      <c r="F235" s="57">
        <v>5</v>
      </c>
      <c r="G235" s="57">
        <v>5</v>
      </c>
      <c r="H235" s="57">
        <v>5</v>
      </c>
      <c r="I235" s="57">
        <v>5</v>
      </c>
      <c r="J235" s="57">
        <v>5</v>
      </c>
      <c r="K235" s="57">
        <v>5</v>
      </c>
      <c r="L235" s="57">
        <v>5</v>
      </c>
      <c r="M235" s="57">
        <v>5</v>
      </c>
      <c r="N235" s="17"/>
    </row>
    <row r="236" spans="1:14" ht="15" customHeight="1" x14ac:dyDescent="0.15">
      <c r="A236" s="44"/>
      <c r="B236" s="73">
        <v>30</v>
      </c>
      <c r="C236" s="57"/>
      <c r="D236" s="57"/>
      <c r="E236" s="57"/>
      <c r="F236" s="57">
        <v>5</v>
      </c>
      <c r="G236" s="57">
        <v>5</v>
      </c>
      <c r="H236" s="57">
        <v>5</v>
      </c>
      <c r="I236" s="57">
        <v>5</v>
      </c>
      <c r="J236" s="57">
        <v>5</v>
      </c>
      <c r="K236" s="57">
        <v>5</v>
      </c>
      <c r="L236" s="57">
        <v>5</v>
      </c>
      <c r="M236" s="57">
        <v>5</v>
      </c>
      <c r="N236" s="17"/>
    </row>
    <row r="237" spans="1:14" ht="15" customHeight="1" x14ac:dyDescent="0.15">
      <c r="A237" s="44"/>
      <c r="B237" s="73">
        <v>37</v>
      </c>
      <c r="C237" s="57"/>
      <c r="D237" s="57"/>
      <c r="E237" s="57"/>
      <c r="F237" s="57"/>
      <c r="G237" s="57"/>
      <c r="H237" s="57"/>
      <c r="I237" s="57">
        <v>6</v>
      </c>
      <c r="J237" s="57">
        <v>6</v>
      </c>
      <c r="K237" s="57">
        <v>6</v>
      </c>
      <c r="L237" s="57">
        <v>6</v>
      </c>
      <c r="M237" s="57">
        <v>6</v>
      </c>
      <c r="N237" s="17"/>
    </row>
    <row r="238" spans="1:14" ht="15" customHeight="1" x14ac:dyDescent="0.15">
      <c r="A238" s="44"/>
      <c r="B238" s="73">
        <v>44</v>
      </c>
      <c r="C238" s="57"/>
      <c r="D238" s="57"/>
      <c r="E238" s="57"/>
      <c r="F238" s="57"/>
      <c r="G238" s="57"/>
      <c r="H238" s="57"/>
      <c r="I238" s="57"/>
      <c r="J238" s="57">
        <v>6</v>
      </c>
      <c r="K238" s="57">
        <v>6</v>
      </c>
      <c r="L238" s="57">
        <v>6</v>
      </c>
      <c r="M238" s="57">
        <v>6</v>
      </c>
      <c r="N238" s="17"/>
    </row>
    <row r="239" spans="1:14" ht="15" customHeight="1" x14ac:dyDescent="0.15">
      <c r="A239" s="44"/>
      <c r="B239" s="73">
        <v>45</v>
      </c>
      <c r="C239" s="57"/>
      <c r="D239" s="57"/>
      <c r="E239" s="57"/>
      <c r="F239" s="57"/>
      <c r="G239" s="57"/>
      <c r="H239" s="57"/>
      <c r="I239" s="57"/>
      <c r="J239" s="57">
        <v>6</v>
      </c>
      <c r="K239" s="57">
        <v>6</v>
      </c>
      <c r="L239" s="57">
        <v>6</v>
      </c>
      <c r="M239" s="57">
        <v>6</v>
      </c>
      <c r="N239" s="17"/>
    </row>
    <row r="240" spans="1:14" ht="15" customHeight="1" x14ac:dyDescent="0.15">
      <c r="A240" s="44"/>
      <c r="B240" s="17"/>
      <c r="C240" s="17"/>
      <c r="D240" s="17"/>
      <c r="E240" s="17"/>
      <c r="F240" s="17"/>
      <c r="G240" s="17"/>
      <c r="H240" s="17"/>
      <c r="I240" s="17"/>
      <c r="J240" s="17"/>
      <c r="K240" s="17"/>
      <c r="L240" s="17"/>
      <c r="M240" s="17"/>
      <c r="N240" s="17"/>
    </row>
    <row r="241" spans="1:14" ht="15" customHeight="1" x14ac:dyDescent="0.15">
      <c r="A241" s="44"/>
      <c r="N241" s="1"/>
    </row>
    <row r="242" spans="1:14" ht="15" customHeight="1" x14ac:dyDescent="0.15">
      <c r="A242" s="44"/>
    </row>
    <row r="243" spans="1:14" ht="15" customHeight="1" x14ac:dyDescent="0.15">
      <c r="A243" s="44"/>
    </row>
    <row r="244" spans="1:14" ht="15" customHeight="1" x14ac:dyDescent="0.15">
      <c r="A244" s="44"/>
      <c r="B244" s="2" t="s">
        <v>543</v>
      </c>
    </row>
    <row r="245" spans="1:14" ht="15" customHeight="1" x14ac:dyDescent="0.15">
      <c r="A245" s="44"/>
      <c r="C245" s="1" t="s">
        <v>525</v>
      </c>
      <c r="D245" s="1" t="s">
        <v>526</v>
      </c>
      <c r="E245" s="1" t="s">
        <v>527</v>
      </c>
      <c r="F245" s="1" t="s">
        <v>509</v>
      </c>
      <c r="G245" s="1" t="s">
        <v>23</v>
      </c>
      <c r="H245" s="1" t="s">
        <v>1257</v>
      </c>
    </row>
    <row r="246" spans="1:14" ht="15" customHeight="1" x14ac:dyDescent="0.15">
      <c r="A246" s="44" t="s">
        <v>557</v>
      </c>
      <c r="B246" s="1" t="s">
        <v>1249</v>
      </c>
      <c r="C246" s="1">
        <v>25</v>
      </c>
      <c r="D246" s="1" t="s">
        <v>529</v>
      </c>
      <c r="E246" s="1" t="s">
        <v>530</v>
      </c>
      <c r="F246" s="1" t="s">
        <v>531</v>
      </c>
      <c r="G246" s="1" t="s">
        <v>1254</v>
      </c>
      <c r="H246" s="1" t="s">
        <v>1258</v>
      </c>
      <c r="I246" s="17"/>
    </row>
    <row r="247" spans="1:14" ht="15" customHeight="1" x14ac:dyDescent="0.15">
      <c r="A247" s="44" t="s">
        <v>558</v>
      </c>
      <c r="B247" s="1" t="s">
        <v>1250</v>
      </c>
      <c r="C247" s="1">
        <v>25</v>
      </c>
      <c r="D247" s="1" t="s">
        <v>529</v>
      </c>
      <c r="E247" s="1" t="s">
        <v>530</v>
      </c>
      <c r="F247" s="1" t="s">
        <v>534</v>
      </c>
      <c r="G247" s="1" t="s">
        <v>1255</v>
      </c>
      <c r="H247" s="1" t="s">
        <v>1258</v>
      </c>
      <c r="I247" s="17"/>
    </row>
    <row r="248" spans="1:14" ht="15" customHeight="1" x14ac:dyDescent="0.15">
      <c r="A248" s="44"/>
      <c r="B248" s="1" t="s">
        <v>1251</v>
      </c>
      <c r="C248" s="1">
        <v>40</v>
      </c>
      <c r="D248" s="1" t="s">
        <v>537</v>
      </c>
      <c r="E248" s="1" t="s">
        <v>538</v>
      </c>
      <c r="F248" s="1" t="s">
        <v>534</v>
      </c>
      <c r="G248" s="42" t="s">
        <v>1256</v>
      </c>
      <c r="H248" s="1" t="s">
        <v>1258</v>
      </c>
      <c r="I248" s="17"/>
    </row>
    <row r="249" spans="1:14" ht="15" customHeight="1" x14ac:dyDescent="0.15">
      <c r="A249" s="44"/>
      <c r="B249" s="1" t="s">
        <v>1253</v>
      </c>
      <c r="C249" s="1">
        <v>25</v>
      </c>
      <c r="D249" s="1" t="s">
        <v>529</v>
      </c>
      <c r="E249" s="1" t="s">
        <v>530</v>
      </c>
      <c r="F249" s="1" t="s">
        <v>40</v>
      </c>
      <c r="G249" s="42" t="s">
        <v>1267</v>
      </c>
      <c r="H249" s="1" t="s">
        <v>1258</v>
      </c>
      <c r="I249" s="17"/>
    </row>
    <row r="250" spans="1:14" ht="15" customHeight="1" x14ac:dyDescent="0.15">
      <c r="A250" s="44"/>
      <c r="B250" s="1" t="s">
        <v>1252</v>
      </c>
      <c r="C250" s="1">
        <v>40</v>
      </c>
      <c r="D250" s="1" t="s">
        <v>538</v>
      </c>
      <c r="E250" s="1" t="s">
        <v>538</v>
      </c>
      <c r="F250" s="1" t="s">
        <v>40</v>
      </c>
      <c r="G250" s="1" t="s">
        <v>1268</v>
      </c>
      <c r="H250" s="1" t="s">
        <v>1258</v>
      </c>
      <c r="I250" s="17"/>
    </row>
    <row r="251" spans="1:14" ht="15" customHeight="1" x14ac:dyDescent="0.15">
      <c r="A251" s="44"/>
      <c r="B251" s="17" t="s">
        <v>40</v>
      </c>
      <c r="C251" s="17" t="s">
        <v>40</v>
      </c>
      <c r="D251" s="17" t="s">
        <v>40</v>
      </c>
      <c r="E251" s="17" t="s">
        <v>40</v>
      </c>
      <c r="F251" s="17" t="s">
        <v>40</v>
      </c>
      <c r="G251" s="17" t="s">
        <v>40</v>
      </c>
      <c r="H251" s="17"/>
      <c r="I251" s="17"/>
    </row>
    <row r="252" spans="1:14" ht="15" customHeight="1" x14ac:dyDescent="0.15">
      <c r="A252" s="44"/>
    </row>
    <row r="253" spans="1:14" ht="15" customHeight="1" x14ac:dyDescent="0.15">
      <c r="A253" s="44"/>
    </row>
    <row r="254" spans="1:14" ht="15" customHeight="1" x14ac:dyDescent="0.15">
      <c r="A254" s="44"/>
    </row>
    <row r="255" spans="1:14" ht="15" customHeight="1" x14ac:dyDescent="0.15">
      <c r="A255" s="44"/>
    </row>
    <row r="256" spans="1:14" ht="15" customHeight="1" x14ac:dyDescent="0.15">
      <c r="A256" s="4" t="s">
        <v>544</v>
      </c>
      <c r="B256" s="1">
        <v>1</v>
      </c>
      <c r="C256" s="1">
        <v>2</v>
      </c>
      <c r="D256" s="1">
        <v>3</v>
      </c>
      <c r="E256" s="1">
        <v>4</v>
      </c>
      <c r="F256" s="1">
        <v>5</v>
      </c>
      <c r="G256" s="1">
        <v>6</v>
      </c>
      <c r="H256" s="1">
        <v>7</v>
      </c>
      <c r="I256" s="1">
        <v>8</v>
      </c>
      <c r="J256" s="1">
        <v>9</v>
      </c>
      <c r="K256" s="1">
        <v>10</v>
      </c>
      <c r="L256" s="1">
        <v>11</v>
      </c>
    </row>
    <row r="257" spans="1:12" ht="15" customHeight="1" x14ac:dyDescent="0.15">
      <c r="B257" s="1" t="s">
        <v>102</v>
      </c>
      <c r="C257" s="7" t="s">
        <v>160</v>
      </c>
      <c r="D257" s="7" t="s">
        <v>161</v>
      </c>
      <c r="E257" s="7" t="s">
        <v>162</v>
      </c>
      <c r="F257" s="7" t="s">
        <v>163</v>
      </c>
      <c r="G257" s="7" t="s">
        <v>164</v>
      </c>
      <c r="H257" s="7" t="s">
        <v>253</v>
      </c>
      <c r="I257" s="7" t="s">
        <v>254</v>
      </c>
      <c r="J257" s="7" t="s">
        <v>255</v>
      </c>
      <c r="K257" s="7" t="s">
        <v>256</v>
      </c>
      <c r="L257" s="45" t="s">
        <v>257</v>
      </c>
    </row>
    <row r="258" spans="1:12" ht="15" customHeight="1" x14ac:dyDescent="0.15">
      <c r="A258" s="2" t="s">
        <v>498</v>
      </c>
      <c r="B258" s="1">
        <v>0.55000000000000004</v>
      </c>
      <c r="C258" s="1" t="s">
        <v>528</v>
      </c>
      <c r="D258" s="1" t="s">
        <v>528</v>
      </c>
      <c r="E258" s="1" t="s">
        <v>532</v>
      </c>
      <c r="F258" s="1" t="s">
        <v>40</v>
      </c>
      <c r="G258" s="1" t="s">
        <v>40</v>
      </c>
      <c r="H258" s="1" t="s">
        <v>528</v>
      </c>
      <c r="I258" s="1" t="s">
        <v>528</v>
      </c>
      <c r="J258" s="1" t="s">
        <v>40</v>
      </c>
      <c r="K258" s="1" t="s">
        <v>40</v>
      </c>
      <c r="L258" s="42" t="s">
        <v>40</v>
      </c>
    </row>
    <row r="259" spans="1:12" ht="15" customHeight="1" x14ac:dyDescent="0.15">
      <c r="A259" s="40" t="s">
        <v>545</v>
      </c>
      <c r="B259" s="1">
        <v>1.1000000000000001</v>
      </c>
      <c r="C259" s="1" t="s">
        <v>528</v>
      </c>
      <c r="D259" s="1" t="s">
        <v>528</v>
      </c>
      <c r="E259" s="1" t="s">
        <v>532</v>
      </c>
      <c r="F259" s="1" t="s">
        <v>40</v>
      </c>
      <c r="G259" s="1" t="s">
        <v>40</v>
      </c>
      <c r="H259" s="1" t="s">
        <v>528</v>
      </c>
      <c r="I259" s="1" t="s">
        <v>528</v>
      </c>
      <c r="J259" s="1" t="s">
        <v>40</v>
      </c>
      <c r="K259" s="1" t="s">
        <v>40</v>
      </c>
      <c r="L259" s="42" t="s">
        <v>40</v>
      </c>
    </row>
    <row r="260" spans="1:12" ht="15" customHeight="1" x14ac:dyDescent="0.15">
      <c r="B260" s="1">
        <v>1.5</v>
      </c>
      <c r="C260" s="1" t="s">
        <v>528</v>
      </c>
      <c r="D260" s="1" t="s">
        <v>528</v>
      </c>
      <c r="E260" s="1" t="s">
        <v>532</v>
      </c>
      <c r="F260" s="1" t="s">
        <v>40</v>
      </c>
      <c r="G260" s="1" t="s">
        <v>40</v>
      </c>
      <c r="H260" s="1" t="s">
        <v>528</v>
      </c>
      <c r="I260" s="1" t="s">
        <v>528</v>
      </c>
      <c r="J260" s="1" t="s">
        <v>40</v>
      </c>
      <c r="K260" s="1" t="s">
        <v>40</v>
      </c>
      <c r="L260" s="42" t="s">
        <v>40</v>
      </c>
    </row>
    <row r="261" spans="1:12" ht="15" customHeight="1" x14ac:dyDescent="0.15">
      <c r="B261" s="1">
        <v>2.2000000000000002</v>
      </c>
      <c r="C261" s="1" t="s">
        <v>40</v>
      </c>
      <c r="D261" s="1" t="s">
        <v>528</v>
      </c>
      <c r="E261" s="1" t="s">
        <v>532</v>
      </c>
      <c r="F261" s="1" t="s">
        <v>40</v>
      </c>
      <c r="G261" s="1" t="s">
        <v>40</v>
      </c>
      <c r="H261" s="1" t="s">
        <v>40</v>
      </c>
      <c r="I261" s="1" t="s">
        <v>528</v>
      </c>
      <c r="J261" s="1" t="s">
        <v>40</v>
      </c>
      <c r="K261" s="1" t="s">
        <v>40</v>
      </c>
      <c r="L261" s="1" t="s">
        <v>40</v>
      </c>
    </row>
    <row r="262" spans="1:12" ht="15" customHeight="1" x14ac:dyDescent="0.15">
      <c r="B262" s="1">
        <v>3</v>
      </c>
      <c r="C262" s="1" t="s">
        <v>40</v>
      </c>
      <c r="D262" s="1" t="s">
        <v>528</v>
      </c>
      <c r="E262" s="1" t="s">
        <v>533</v>
      </c>
      <c r="F262" s="1" t="s">
        <v>40</v>
      </c>
      <c r="G262" s="1" t="s">
        <v>40</v>
      </c>
      <c r="H262" s="1" t="s">
        <v>40</v>
      </c>
      <c r="I262" s="1" t="s">
        <v>528</v>
      </c>
      <c r="J262" s="1" t="s">
        <v>40</v>
      </c>
      <c r="K262" s="1" t="s">
        <v>40</v>
      </c>
      <c r="L262" s="1" t="s">
        <v>40</v>
      </c>
    </row>
    <row r="263" spans="1:12" ht="15" customHeight="1" x14ac:dyDescent="0.15">
      <c r="B263" s="1">
        <v>4</v>
      </c>
      <c r="C263" s="1" t="s">
        <v>40</v>
      </c>
      <c r="D263" s="1" t="s">
        <v>528</v>
      </c>
      <c r="E263" s="1" t="s">
        <v>533</v>
      </c>
      <c r="F263" s="1" t="s">
        <v>40</v>
      </c>
      <c r="G263" s="1" t="s">
        <v>40</v>
      </c>
      <c r="H263" s="1" t="s">
        <v>40</v>
      </c>
      <c r="I263" s="1" t="s">
        <v>528</v>
      </c>
      <c r="J263" s="1" t="s">
        <v>40</v>
      </c>
      <c r="K263" s="1" t="s">
        <v>40</v>
      </c>
      <c r="L263" s="1" t="s">
        <v>40</v>
      </c>
    </row>
    <row r="264" spans="1:12" ht="15" customHeight="1" x14ac:dyDescent="0.15">
      <c r="B264" s="1">
        <v>5.5</v>
      </c>
      <c r="C264" s="1" t="s">
        <v>40</v>
      </c>
      <c r="D264" s="1" t="s">
        <v>528</v>
      </c>
      <c r="E264" s="1" t="s">
        <v>533</v>
      </c>
      <c r="F264" s="1" t="s">
        <v>40</v>
      </c>
      <c r="G264" s="1" t="s">
        <v>40</v>
      </c>
      <c r="H264" s="1" t="s">
        <v>40</v>
      </c>
      <c r="I264" s="1" t="s">
        <v>528</v>
      </c>
      <c r="J264" s="1" t="s">
        <v>532</v>
      </c>
      <c r="K264" s="1" t="s">
        <v>40</v>
      </c>
      <c r="L264" s="1" t="s">
        <v>40</v>
      </c>
    </row>
    <row r="265" spans="1:12" ht="15" customHeight="1" x14ac:dyDescent="0.15">
      <c r="B265" s="1">
        <v>7.5</v>
      </c>
      <c r="C265" s="1" t="s">
        <v>40</v>
      </c>
      <c r="D265" s="1" t="s">
        <v>528</v>
      </c>
      <c r="E265" s="1" t="s">
        <v>533</v>
      </c>
      <c r="F265" s="1" t="s">
        <v>40</v>
      </c>
      <c r="G265" s="1" t="s">
        <v>40</v>
      </c>
      <c r="H265" s="1" t="s">
        <v>40</v>
      </c>
      <c r="I265" s="1" t="s">
        <v>528</v>
      </c>
      <c r="J265" s="1" t="s">
        <v>533</v>
      </c>
      <c r="K265" s="1" t="s">
        <v>40</v>
      </c>
      <c r="L265" s="1" t="s">
        <v>40</v>
      </c>
    </row>
    <row r="266" spans="1:12" ht="15" customHeight="1" x14ac:dyDescent="0.15">
      <c r="B266" s="1">
        <v>9.1999999999999993</v>
      </c>
      <c r="C266" s="1" t="s">
        <v>40</v>
      </c>
      <c r="D266" s="1" t="s">
        <v>40</v>
      </c>
      <c r="E266" s="1" t="s">
        <v>533</v>
      </c>
      <c r="F266" s="1" t="s">
        <v>40</v>
      </c>
      <c r="G266" s="1" t="s">
        <v>40</v>
      </c>
      <c r="H266" s="1" t="s">
        <v>40</v>
      </c>
      <c r="I266" s="1" t="s">
        <v>40</v>
      </c>
      <c r="J266" s="1" t="s">
        <v>533</v>
      </c>
      <c r="K266" s="1" t="s">
        <v>40</v>
      </c>
      <c r="L266" s="1" t="s">
        <v>40</v>
      </c>
    </row>
    <row r="267" spans="1:12" ht="15" customHeight="1" x14ac:dyDescent="0.15">
      <c r="B267" s="1"/>
      <c r="C267" s="1"/>
      <c r="E267" s="1"/>
    </row>
    <row r="269" spans="1:12" ht="15" customHeight="1" x14ac:dyDescent="0.15">
      <c r="B269" s="1" t="s">
        <v>102</v>
      </c>
      <c r="C269" s="7" t="s">
        <v>160</v>
      </c>
      <c r="D269" s="7" t="s">
        <v>161</v>
      </c>
      <c r="E269" s="7" t="s">
        <v>162</v>
      </c>
      <c r="F269" s="7" t="s">
        <v>163</v>
      </c>
      <c r="G269" s="7" t="s">
        <v>164</v>
      </c>
      <c r="H269" s="7" t="s">
        <v>253</v>
      </c>
      <c r="I269" s="7" t="s">
        <v>254</v>
      </c>
      <c r="J269" s="7" t="s">
        <v>255</v>
      </c>
      <c r="K269" s="7" t="s">
        <v>256</v>
      </c>
      <c r="L269" s="45" t="s">
        <v>257</v>
      </c>
    </row>
    <row r="270" spans="1:12" ht="15" customHeight="1" x14ac:dyDescent="0.15">
      <c r="A270" s="2" t="s">
        <v>499</v>
      </c>
      <c r="B270" s="1">
        <v>0.55000000000000004</v>
      </c>
      <c r="C270" s="1" t="s">
        <v>528</v>
      </c>
      <c r="D270" s="1" t="s">
        <v>528</v>
      </c>
      <c r="E270" s="1" t="s">
        <v>532</v>
      </c>
      <c r="F270" s="1" t="s">
        <v>40</v>
      </c>
      <c r="G270" s="1" t="s">
        <v>40</v>
      </c>
      <c r="H270" s="1" t="s">
        <v>528</v>
      </c>
      <c r="I270" s="1" t="s">
        <v>528</v>
      </c>
      <c r="J270" s="1" t="s">
        <v>40</v>
      </c>
      <c r="K270" s="1"/>
      <c r="L270" s="42"/>
    </row>
    <row r="271" spans="1:12" ht="15" customHeight="1" x14ac:dyDescent="0.15">
      <c r="A271" s="40" t="s">
        <v>546</v>
      </c>
      <c r="B271" s="1">
        <v>1.1000000000000001</v>
      </c>
      <c r="C271" s="1" t="s">
        <v>528</v>
      </c>
      <c r="D271" s="1" t="s">
        <v>528</v>
      </c>
      <c r="E271" s="1" t="s">
        <v>532</v>
      </c>
      <c r="F271" s="1" t="s">
        <v>40</v>
      </c>
      <c r="G271" s="1" t="s">
        <v>40</v>
      </c>
      <c r="H271" s="1" t="s">
        <v>528</v>
      </c>
      <c r="I271" s="1" t="s">
        <v>528</v>
      </c>
      <c r="J271" s="1" t="s">
        <v>40</v>
      </c>
      <c r="K271" s="1"/>
      <c r="L271" s="42"/>
    </row>
    <row r="272" spans="1:12" ht="15" customHeight="1" x14ac:dyDescent="0.15">
      <c r="B272" s="1">
        <v>1.5</v>
      </c>
      <c r="C272" s="1" t="s">
        <v>528</v>
      </c>
      <c r="D272" s="1" t="s">
        <v>528</v>
      </c>
      <c r="E272" s="1" t="s">
        <v>532</v>
      </c>
      <c r="F272" s="1" t="s">
        <v>40</v>
      </c>
      <c r="G272" s="1" t="s">
        <v>40</v>
      </c>
      <c r="H272" s="1" t="s">
        <v>528</v>
      </c>
      <c r="I272" s="1" t="s">
        <v>528</v>
      </c>
      <c r="J272" s="1" t="s">
        <v>40</v>
      </c>
      <c r="K272" s="1"/>
      <c r="L272" s="42"/>
    </row>
    <row r="273" spans="1:13" ht="15" customHeight="1" x14ac:dyDescent="0.15">
      <c r="B273" s="1">
        <v>2.2000000000000002</v>
      </c>
      <c r="C273" s="42" t="s">
        <v>40</v>
      </c>
      <c r="D273" s="42" t="s">
        <v>528</v>
      </c>
      <c r="E273" s="1" t="s">
        <v>532</v>
      </c>
      <c r="F273" s="42" t="s">
        <v>40</v>
      </c>
      <c r="G273" s="1" t="s">
        <v>40</v>
      </c>
      <c r="H273" s="42" t="s">
        <v>40</v>
      </c>
      <c r="I273" s="1" t="s">
        <v>528</v>
      </c>
      <c r="J273" s="1" t="s">
        <v>40</v>
      </c>
      <c r="K273" s="1" t="s">
        <v>40</v>
      </c>
      <c r="L273" s="42" t="s">
        <v>40</v>
      </c>
    </row>
    <row r="274" spans="1:13" ht="15" customHeight="1" x14ac:dyDescent="0.15">
      <c r="B274" s="1">
        <v>4</v>
      </c>
      <c r="C274" s="1" t="s">
        <v>40</v>
      </c>
      <c r="D274" s="1" t="s">
        <v>528</v>
      </c>
      <c r="E274" s="1" t="s">
        <v>532</v>
      </c>
      <c r="F274" s="1" t="s">
        <v>40</v>
      </c>
      <c r="G274" s="1" t="s">
        <v>40</v>
      </c>
      <c r="H274" s="1" t="s">
        <v>40</v>
      </c>
      <c r="I274" s="1" t="s">
        <v>528</v>
      </c>
      <c r="J274" s="1" t="s">
        <v>40</v>
      </c>
      <c r="K274" s="1" t="s">
        <v>40</v>
      </c>
      <c r="L274" s="1" t="s">
        <v>40</v>
      </c>
    </row>
    <row r="275" spans="1:13" ht="15" customHeight="1" x14ac:dyDescent="0.15">
      <c r="B275" s="1">
        <v>5.5</v>
      </c>
      <c r="C275" s="1" t="s">
        <v>40</v>
      </c>
      <c r="D275" s="1" t="s">
        <v>528</v>
      </c>
      <c r="E275" s="1" t="s">
        <v>532</v>
      </c>
      <c r="F275" s="1" t="s">
        <v>40</v>
      </c>
      <c r="G275" s="1" t="s">
        <v>40</v>
      </c>
      <c r="H275" s="1" t="s">
        <v>40</v>
      </c>
      <c r="I275" s="1" t="s">
        <v>528</v>
      </c>
      <c r="J275" s="1" t="s">
        <v>532</v>
      </c>
      <c r="K275" s="1" t="s">
        <v>40</v>
      </c>
      <c r="L275" s="1" t="s">
        <v>40</v>
      </c>
    </row>
    <row r="276" spans="1:13" ht="15" customHeight="1" x14ac:dyDescent="0.15">
      <c r="B276" s="1">
        <v>7.5</v>
      </c>
      <c r="C276" s="1" t="s">
        <v>40</v>
      </c>
      <c r="D276" s="1" t="s">
        <v>40</v>
      </c>
      <c r="E276" s="1" t="s">
        <v>533</v>
      </c>
      <c r="F276" s="1" t="s">
        <v>40</v>
      </c>
      <c r="G276" s="1" t="s">
        <v>40</v>
      </c>
      <c r="H276" s="1" t="s">
        <v>40</v>
      </c>
      <c r="I276" s="1" t="s">
        <v>40</v>
      </c>
      <c r="J276" s="1" t="s">
        <v>533</v>
      </c>
      <c r="K276" s="1" t="s">
        <v>40</v>
      </c>
      <c r="L276" s="1" t="s">
        <v>40</v>
      </c>
    </row>
    <row r="277" spans="1:13" ht="15" customHeight="1" x14ac:dyDescent="0.15">
      <c r="B277" s="1">
        <v>9.1999999999999993</v>
      </c>
      <c r="C277" s="1" t="s">
        <v>40</v>
      </c>
      <c r="D277" s="1" t="s">
        <v>40</v>
      </c>
      <c r="E277" s="1" t="s">
        <v>533</v>
      </c>
      <c r="F277" s="1" t="s">
        <v>40</v>
      </c>
      <c r="G277" s="1" t="s">
        <v>40</v>
      </c>
      <c r="H277" s="1" t="s">
        <v>40</v>
      </c>
      <c r="I277" s="1" t="s">
        <v>40</v>
      </c>
      <c r="J277" s="1" t="s">
        <v>533</v>
      </c>
      <c r="K277" s="1" t="s">
        <v>40</v>
      </c>
      <c r="L277" s="1" t="s">
        <v>40</v>
      </c>
    </row>
    <row r="278" spans="1:13" ht="15" customHeight="1" x14ac:dyDescent="0.15">
      <c r="B278" s="1">
        <v>11</v>
      </c>
      <c r="C278" s="1" t="s">
        <v>40</v>
      </c>
      <c r="D278" s="1" t="s">
        <v>40</v>
      </c>
      <c r="E278" s="1" t="s">
        <v>533</v>
      </c>
      <c r="F278" s="1" t="s">
        <v>40</v>
      </c>
      <c r="G278" s="1" t="s">
        <v>40</v>
      </c>
      <c r="H278" s="1" t="s">
        <v>40</v>
      </c>
      <c r="I278" s="1" t="s">
        <v>40</v>
      </c>
      <c r="J278" s="1" t="s">
        <v>533</v>
      </c>
      <c r="K278" s="1" t="s">
        <v>40</v>
      </c>
      <c r="L278" s="1" t="s">
        <v>40</v>
      </c>
    </row>
    <row r="279" spans="1:13" ht="15" customHeight="1" x14ac:dyDescent="0.15">
      <c r="B279" s="46">
        <v>15</v>
      </c>
      <c r="C279" s="47" t="s">
        <v>40</v>
      </c>
      <c r="D279" s="47" t="s">
        <v>40</v>
      </c>
      <c r="E279" s="46" t="s">
        <v>533</v>
      </c>
      <c r="F279" s="47" t="s">
        <v>40</v>
      </c>
      <c r="G279" s="47" t="s">
        <v>40</v>
      </c>
      <c r="H279" s="47" t="s">
        <v>40</v>
      </c>
      <c r="I279" s="47" t="s">
        <v>40</v>
      </c>
      <c r="J279" s="46" t="s">
        <v>533</v>
      </c>
      <c r="K279" s="47" t="s">
        <v>40</v>
      </c>
      <c r="L279" s="47" t="s">
        <v>40</v>
      </c>
      <c r="M279" s="2" t="s">
        <v>547</v>
      </c>
    </row>
    <row r="280" spans="1:13" ht="15" customHeight="1" x14ac:dyDescent="0.15">
      <c r="B280" s="1"/>
      <c r="C280" s="1"/>
      <c r="E280" s="1"/>
    </row>
    <row r="282" spans="1:13" ht="15" customHeight="1" x14ac:dyDescent="0.15">
      <c r="B282" s="1" t="s">
        <v>102</v>
      </c>
      <c r="C282" s="7" t="s">
        <v>160</v>
      </c>
      <c r="D282" s="7" t="s">
        <v>161</v>
      </c>
      <c r="E282" s="7" t="s">
        <v>162</v>
      </c>
      <c r="F282" s="7" t="s">
        <v>163</v>
      </c>
      <c r="G282" s="7" t="s">
        <v>164</v>
      </c>
      <c r="H282" s="7" t="s">
        <v>253</v>
      </c>
      <c r="I282" s="7" t="s">
        <v>254</v>
      </c>
      <c r="J282" s="7" t="s">
        <v>255</v>
      </c>
      <c r="K282" s="7" t="s">
        <v>256</v>
      </c>
      <c r="L282" s="45" t="s">
        <v>257</v>
      </c>
    </row>
    <row r="283" spans="1:13" ht="15" customHeight="1" x14ac:dyDescent="0.15">
      <c r="A283" s="2" t="s">
        <v>500</v>
      </c>
      <c r="B283" s="1">
        <v>4</v>
      </c>
      <c r="C283" s="1" t="s">
        <v>40</v>
      </c>
      <c r="D283" s="1" t="s">
        <v>528</v>
      </c>
      <c r="E283" s="1" t="s">
        <v>40</v>
      </c>
      <c r="F283" s="1" t="s">
        <v>40</v>
      </c>
      <c r="G283" s="1" t="s">
        <v>40</v>
      </c>
      <c r="H283" s="1"/>
      <c r="I283" s="1" t="s">
        <v>528</v>
      </c>
      <c r="J283" s="1" t="s">
        <v>40</v>
      </c>
      <c r="K283" s="1" t="s">
        <v>40</v>
      </c>
      <c r="L283" s="1" t="s">
        <v>40</v>
      </c>
    </row>
    <row r="284" spans="1:13" ht="15" customHeight="1" x14ac:dyDescent="0.15">
      <c r="A284" s="40" t="s">
        <v>548</v>
      </c>
      <c r="B284" s="1">
        <v>5.5</v>
      </c>
      <c r="C284" s="1" t="s">
        <v>40</v>
      </c>
      <c r="D284" s="1" t="s">
        <v>528</v>
      </c>
      <c r="E284" s="1" t="s">
        <v>532</v>
      </c>
      <c r="F284" s="1" t="s">
        <v>40</v>
      </c>
      <c r="G284" s="1" t="s">
        <v>40</v>
      </c>
      <c r="H284" s="1"/>
      <c r="I284" s="1" t="s">
        <v>528</v>
      </c>
      <c r="J284" s="1" t="s">
        <v>532</v>
      </c>
      <c r="K284" s="1" t="s">
        <v>40</v>
      </c>
      <c r="L284" s="1" t="s">
        <v>40</v>
      </c>
    </row>
    <row r="285" spans="1:13" ht="15" customHeight="1" x14ac:dyDescent="0.15">
      <c r="B285" s="1">
        <v>7.5</v>
      </c>
      <c r="C285" s="1" t="s">
        <v>40</v>
      </c>
      <c r="D285" s="1" t="s">
        <v>528</v>
      </c>
      <c r="E285" s="1" t="s">
        <v>533</v>
      </c>
      <c r="F285" s="1" t="s">
        <v>40</v>
      </c>
      <c r="G285" s="1" t="s">
        <v>40</v>
      </c>
      <c r="H285" s="1"/>
      <c r="I285" s="1" t="s">
        <v>528</v>
      </c>
      <c r="J285" s="1" t="s">
        <v>533</v>
      </c>
      <c r="K285" s="1" t="s">
        <v>40</v>
      </c>
      <c r="L285" s="1" t="s">
        <v>40</v>
      </c>
    </row>
    <row r="286" spans="1:13" ht="15" customHeight="1" x14ac:dyDescent="0.15">
      <c r="B286" s="1">
        <v>9.1999999999999993</v>
      </c>
      <c r="C286" s="1" t="s">
        <v>40</v>
      </c>
      <c r="D286" s="1" t="s">
        <v>528</v>
      </c>
      <c r="E286" s="1" t="s">
        <v>533</v>
      </c>
      <c r="F286" s="1" t="s">
        <v>40</v>
      </c>
      <c r="G286" s="1" t="s">
        <v>40</v>
      </c>
      <c r="H286" s="1"/>
      <c r="I286" s="1" t="s">
        <v>528</v>
      </c>
      <c r="J286" s="1" t="s">
        <v>533</v>
      </c>
      <c r="K286" s="1" t="s">
        <v>40</v>
      </c>
      <c r="L286" s="1" t="s">
        <v>40</v>
      </c>
    </row>
    <row r="287" spans="1:13" ht="15" customHeight="1" x14ac:dyDescent="0.15">
      <c r="B287" s="1">
        <v>11</v>
      </c>
      <c r="C287" s="42" t="s">
        <v>40</v>
      </c>
      <c r="D287" s="1" t="s">
        <v>528</v>
      </c>
      <c r="E287" s="1" t="s">
        <v>533</v>
      </c>
      <c r="F287" s="42" t="s">
        <v>40</v>
      </c>
      <c r="G287" s="42" t="s">
        <v>40</v>
      </c>
      <c r="H287" s="42"/>
      <c r="I287" s="1" t="s">
        <v>528</v>
      </c>
      <c r="J287" s="1" t="s">
        <v>533</v>
      </c>
      <c r="K287" s="42" t="s">
        <v>40</v>
      </c>
      <c r="L287" s="42" t="s">
        <v>40</v>
      </c>
    </row>
    <row r="288" spans="1:13" ht="15" customHeight="1" x14ac:dyDescent="0.15">
      <c r="B288" s="1"/>
      <c r="C288" s="1"/>
      <c r="D288" s="42"/>
      <c r="E288" s="1"/>
      <c r="F288" s="42"/>
      <c r="G288" s="42"/>
      <c r="H288" s="42"/>
      <c r="I288" s="42"/>
      <c r="J288" s="1"/>
      <c r="K288" s="42"/>
      <c r="L288" s="42"/>
    </row>
    <row r="290" spans="1:12" ht="15" customHeight="1" x14ac:dyDescent="0.15">
      <c r="B290" s="1" t="s">
        <v>102</v>
      </c>
      <c r="C290" s="7" t="s">
        <v>160</v>
      </c>
      <c r="D290" s="7" t="s">
        <v>161</v>
      </c>
      <c r="E290" s="7" t="s">
        <v>162</v>
      </c>
      <c r="F290" s="7" t="s">
        <v>163</v>
      </c>
      <c r="G290" s="7" t="s">
        <v>164</v>
      </c>
      <c r="H290" s="7" t="s">
        <v>253</v>
      </c>
      <c r="I290" s="7" t="s">
        <v>254</v>
      </c>
      <c r="J290" s="7" t="s">
        <v>255</v>
      </c>
      <c r="K290" s="7" t="s">
        <v>256</v>
      </c>
      <c r="L290" s="45" t="s">
        <v>257</v>
      </c>
    </row>
    <row r="291" spans="1:12" ht="15" customHeight="1" x14ac:dyDescent="0.15">
      <c r="A291" s="31" t="s">
        <v>549</v>
      </c>
      <c r="B291" s="1">
        <v>4</v>
      </c>
      <c r="C291" s="1" t="s">
        <v>40</v>
      </c>
      <c r="D291" s="1" t="s">
        <v>528</v>
      </c>
      <c r="E291" s="1" t="s">
        <v>40</v>
      </c>
      <c r="F291" s="1" t="s">
        <v>40</v>
      </c>
      <c r="G291" s="1" t="s">
        <v>40</v>
      </c>
      <c r="H291" s="1"/>
      <c r="I291" s="1" t="s">
        <v>528</v>
      </c>
      <c r="J291" s="1" t="s">
        <v>40</v>
      </c>
      <c r="K291" s="1" t="s">
        <v>40</v>
      </c>
      <c r="L291" s="1" t="s">
        <v>40</v>
      </c>
    </row>
    <row r="292" spans="1:12" ht="15" customHeight="1" x14ac:dyDescent="0.15">
      <c r="A292" s="40" t="s">
        <v>550</v>
      </c>
      <c r="B292" s="1">
        <v>5.5</v>
      </c>
      <c r="C292" s="1" t="s">
        <v>40</v>
      </c>
      <c r="D292" s="1" t="s">
        <v>528</v>
      </c>
      <c r="E292" s="1" t="s">
        <v>532</v>
      </c>
      <c r="F292" s="1" t="s">
        <v>40</v>
      </c>
      <c r="G292" s="1" t="s">
        <v>40</v>
      </c>
      <c r="H292" s="1"/>
      <c r="I292" s="1" t="s">
        <v>528</v>
      </c>
      <c r="J292" s="1" t="s">
        <v>532</v>
      </c>
      <c r="K292" s="1" t="s">
        <v>40</v>
      </c>
      <c r="L292" s="1" t="s">
        <v>40</v>
      </c>
    </row>
    <row r="293" spans="1:12" ht="15" customHeight="1" x14ac:dyDescent="0.15">
      <c r="B293" s="1">
        <v>7.5</v>
      </c>
      <c r="C293" s="1" t="s">
        <v>40</v>
      </c>
      <c r="D293" s="1" t="s">
        <v>40</v>
      </c>
      <c r="E293" s="1" t="s">
        <v>533</v>
      </c>
      <c r="F293" s="1" t="s">
        <v>40</v>
      </c>
      <c r="G293" s="1" t="s">
        <v>40</v>
      </c>
      <c r="H293" s="1"/>
      <c r="I293" s="1" t="s">
        <v>40</v>
      </c>
      <c r="J293" s="1" t="s">
        <v>533</v>
      </c>
      <c r="K293" s="1" t="s">
        <v>40</v>
      </c>
      <c r="L293" s="1" t="s">
        <v>40</v>
      </c>
    </row>
    <row r="294" spans="1:12" ht="15" customHeight="1" x14ac:dyDescent="0.15">
      <c r="B294" s="1">
        <v>9.1999999999999993</v>
      </c>
      <c r="C294" s="1" t="s">
        <v>40</v>
      </c>
      <c r="D294" s="1" t="s">
        <v>40</v>
      </c>
      <c r="E294" s="1" t="s">
        <v>533</v>
      </c>
      <c r="F294" s="1" t="s">
        <v>539</v>
      </c>
      <c r="G294" s="1" t="s">
        <v>40</v>
      </c>
      <c r="H294" s="1"/>
      <c r="I294" s="1" t="s">
        <v>40</v>
      </c>
      <c r="J294" s="1" t="s">
        <v>533</v>
      </c>
      <c r="K294" s="1" t="s">
        <v>539</v>
      </c>
      <c r="L294" s="1" t="s">
        <v>40</v>
      </c>
    </row>
    <row r="295" spans="1:12" ht="15" customHeight="1" x14ac:dyDescent="0.15">
      <c r="B295" s="1">
        <v>11</v>
      </c>
      <c r="C295" s="1" t="s">
        <v>40</v>
      </c>
      <c r="D295" s="1" t="s">
        <v>40</v>
      </c>
      <c r="E295" s="1" t="s">
        <v>533</v>
      </c>
      <c r="F295" s="1" t="s">
        <v>539</v>
      </c>
      <c r="G295" s="1" t="s">
        <v>40</v>
      </c>
      <c r="H295" s="1"/>
      <c r="I295" s="1" t="s">
        <v>40</v>
      </c>
      <c r="J295" s="1" t="s">
        <v>533</v>
      </c>
      <c r="K295" s="1" t="s">
        <v>539</v>
      </c>
      <c r="L295" s="1" t="s">
        <v>40</v>
      </c>
    </row>
    <row r="296" spans="1:12" ht="15" customHeight="1" x14ac:dyDescent="0.15">
      <c r="B296" s="1">
        <v>15</v>
      </c>
      <c r="C296" s="1" t="s">
        <v>40</v>
      </c>
      <c r="D296" s="1" t="s">
        <v>40</v>
      </c>
      <c r="E296" s="1" t="s">
        <v>533</v>
      </c>
      <c r="F296" s="1" t="s">
        <v>539</v>
      </c>
      <c r="G296" s="1" t="s">
        <v>40</v>
      </c>
      <c r="H296" s="1"/>
      <c r="I296" s="1" t="s">
        <v>40</v>
      </c>
      <c r="J296" s="1" t="s">
        <v>533</v>
      </c>
      <c r="K296" s="1" t="s">
        <v>539</v>
      </c>
      <c r="L296" s="1" t="s">
        <v>40</v>
      </c>
    </row>
    <row r="297" spans="1:12" ht="15" customHeight="1" x14ac:dyDescent="0.15">
      <c r="B297" s="1"/>
      <c r="C297" s="1"/>
      <c r="E297" s="1"/>
      <c r="F297" s="1"/>
    </row>
    <row r="298" spans="1:12" ht="15" customHeight="1" x14ac:dyDescent="0.15">
      <c r="B298" s="1"/>
      <c r="C298" s="1"/>
      <c r="E298" s="1"/>
      <c r="F298" s="1"/>
    </row>
    <row r="299" spans="1:12" ht="15" customHeight="1" x14ac:dyDescent="0.15">
      <c r="B299" s="1" t="s">
        <v>102</v>
      </c>
      <c r="C299" s="7" t="s">
        <v>160</v>
      </c>
      <c r="D299" s="7" t="s">
        <v>161</v>
      </c>
      <c r="E299" s="7" t="s">
        <v>162</v>
      </c>
      <c r="F299" s="7" t="s">
        <v>163</v>
      </c>
      <c r="G299" s="7" t="s">
        <v>164</v>
      </c>
      <c r="H299" s="7" t="s">
        <v>253</v>
      </c>
      <c r="I299" s="7" t="s">
        <v>254</v>
      </c>
      <c r="J299" s="7" t="s">
        <v>255</v>
      </c>
      <c r="K299" s="7" t="s">
        <v>256</v>
      </c>
      <c r="L299" s="45" t="s">
        <v>257</v>
      </c>
    </row>
    <row r="300" spans="1:12" ht="15" customHeight="1" x14ac:dyDescent="0.15">
      <c r="A300" s="2" t="s">
        <v>503</v>
      </c>
      <c r="B300" s="1">
        <v>4</v>
      </c>
      <c r="C300" s="1" t="s">
        <v>40</v>
      </c>
      <c r="D300" s="1" t="s">
        <v>528</v>
      </c>
      <c r="E300" s="1" t="s">
        <v>40</v>
      </c>
      <c r="F300" s="1" t="s">
        <v>40</v>
      </c>
      <c r="G300" s="1" t="s">
        <v>40</v>
      </c>
      <c r="H300" s="1"/>
      <c r="I300" s="1" t="s">
        <v>528</v>
      </c>
      <c r="J300" s="1" t="s">
        <v>40</v>
      </c>
      <c r="K300" s="1" t="s">
        <v>40</v>
      </c>
      <c r="L300" s="1" t="s">
        <v>40</v>
      </c>
    </row>
    <row r="301" spans="1:12" ht="15" customHeight="1" x14ac:dyDescent="0.15">
      <c r="A301" s="40" t="s">
        <v>551</v>
      </c>
      <c r="B301" s="1">
        <v>5.5</v>
      </c>
      <c r="C301" s="1" t="s">
        <v>40</v>
      </c>
      <c r="D301" s="1" t="s">
        <v>528</v>
      </c>
      <c r="E301" s="1" t="s">
        <v>532</v>
      </c>
      <c r="F301" s="1" t="s">
        <v>40</v>
      </c>
      <c r="G301" s="1" t="s">
        <v>40</v>
      </c>
      <c r="H301" s="1"/>
      <c r="I301" s="1" t="s">
        <v>528</v>
      </c>
      <c r="J301" s="1" t="s">
        <v>532</v>
      </c>
      <c r="K301" s="1" t="s">
        <v>40</v>
      </c>
      <c r="L301" s="1" t="s">
        <v>40</v>
      </c>
    </row>
    <row r="302" spans="1:12" ht="15" customHeight="1" x14ac:dyDescent="0.15">
      <c r="B302" s="1">
        <v>7.5</v>
      </c>
      <c r="C302" s="1" t="s">
        <v>40</v>
      </c>
      <c r="D302" s="1" t="s">
        <v>40</v>
      </c>
      <c r="E302" s="1" t="s">
        <v>533</v>
      </c>
      <c r="F302" s="1" t="s">
        <v>40</v>
      </c>
      <c r="G302" s="1" t="s">
        <v>40</v>
      </c>
      <c r="H302" s="1"/>
      <c r="I302" s="1" t="s">
        <v>40</v>
      </c>
      <c r="J302" s="1" t="s">
        <v>533</v>
      </c>
      <c r="K302" s="1" t="s">
        <v>40</v>
      </c>
      <c r="L302" s="1" t="s">
        <v>40</v>
      </c>
    </row>
    <row r="303" spans="1:12" ht="15" customHeight="1" x14ac:dyDescent="0.15">
      <c r="B303" s="1">
        <v>9.1999999999999993</v>
      </c>
      <c r="C303" s="1" t="s">
        <v>40</v>
      </c>
      <c r="D303" s="1" t="s">
        <v>40</v>
      </c>
      <c r="E303" s="1" t="s">
        <v>533</v>
      </c>
      <c r="F303" s="1" t="s">
        <v>539</v>
      </c>
      <c r="G303" s="1" t="s">
        <v>40</v>
      </c>
      <c r="H303" s="1"/>
      <c r="I303" s="1" t="s">
        <v>40</v>
      </c>
      <c r="J303" s="1" t="s">
        <v>533</v>
      </c>
      <c r="K303" s="1" t="s">
        <v>539</v>
      </c>
      <c r="L303" s="1" t="s">
        <v>40</v>
      </c>
    </row>
    <row r="304" spans="1:12" ht="15" customHeight="1" x14ac:dyDescent="0.15">
      <c r="B304" s="1">
        <v>11</v>
      </c>
      <c r="C304" s="1" t="s">
        <v>40</v>
      </c>
      <c r="D304" s="1" t="s">
        <v>40</v>
      </c>
      <c r="E304" s="1" t="s">
        <v>533</v>
      </c>
      <c r="F304" s="1" t="s">
        <v>539</v>
      </c>
      <c r="G304" s="1" t="s">
        <v>40</v>
      </c>
      <c r="H304" s="1"/>
      <c r="I304" s="1" t="s">
        <v>40</v>
      </c>
      <c r="J304" s="1" t="s">
        <v>533</v>
      </c>
      <c r="K304" s="1" t="s">
        <v>539</v>
      </c>
      <c r="L304" s="1" t="s">
        <v>40</v>
      </c>
    </row>
    <row r="305" spans="1:12" ht="15" customHeight="1" x14ac:dyDescent="0.15">
      <c r="B305" s="1">
        <v>15</v>
      </c>
      <c r="C305" s="42" t="s">
        <v>40</v>
      </c>
      <c r="D305" s="42" t="s">
        <v>40</v>
      </c>
      <c r="E305" s="1" t="s">
        <v>533</v>
      </c>
      <c r="F305" s="1" t="s">
        <v>539</v>
      </c>
      <c r="G305" s="1" t="s">
        <v>40</v>
      </c>
      <c r="H305" s="1"/>
      <c r="I305" s="1" t="s">
        <v>40</v>
      </c>
      <c r="J305" s="1" t="s">
        <v>533</v>
      </c>
      <c r="K305" s="1" t="s">
        <v>539</v>
      </c>
      <c r="L305" s="1" t="s">
        <v>40</v>
      </c>
    </row>
    <row r="306" spans="1:12" ht="15" customHeight="1" x14ac:dyDescent="0.15">
      <c r="B306" s="1"/>
      <c r="C306" s="1"/>
      <c r="E306" s="1"/>
      <c r="F306" s="1"/>
    </row>
    <row r="308" spans="1:12" ht="15" customHeight="1" x14ac:dyDescent="0.15">
      <c r="B308" s="1" t="s">
        <v>102</v>
      </c>
      <c r="C308" s="7" t="s">
        <v>160</v>
      </c>
      <c r="D308" s="7" t="s">
        <v>161</v>
      </c>
      <c r="E308" s="7" t="s">
        <v>162</v>
      </c>
      <c r="F308" s="7" t="s">
        <v>163</v>
      </c>
      <c r="G308" s="7" t="s">
        <v>164</v>
      </c>
      <c r="H308" s="7" t="s">
        <v>253</v>
      </c>
      <c r="I308" s="7" t="s">
        <v>254</v>
      </c>
      <c r="J308" s="7" t="s">
        <v>255</v>
      </c>
      <c r="K308" s="7" t="s">
        <v>256</v>
      </c>
      <c r="L308" s="45" t="s">
        <v>257</v>
      </c>
    </row>
    <row r="309" spans="1:12" ht="15" customHeight="1" x14ac:dyDescent="0.15">
      <c r="A309" s="2" t="s">
        <v>504</v>
      </c>
      <c r="B309" s="1">
        <v>4</v>
      </c>
      <c r="C309" s="1" t="s">
        <v>40</v>
      </c>
      <c r="D309" s="1" t="s">
        <v>528</v>
      </c>
      <c r="E309" s="1" t="s">
        <v>40</v>
      </c>
      <c r="F309" s="1" t="s">
        <v>40</v>
      </c>
      <c r="G309" s="1" t="s">
        <v>40</v>
      </c>
      <c r="H309" s="1"/>
      <c r="I309" s="1" t="s">
        <v>528</v>
      </c>
      <c r="J309" s="1" t="s">
        <v>40</v>
      </c>
      <c r="K309" s="1" t="s">
        <v>40</v>
      </c>
      <c r="L309" s="1" t="s">
        <v>40</v>
      </c>
    </row>
    <row r="310" spans="1:12" ht="15" customHeight="1" x14ac:dyDescent="0.15">
      <c r="A310" s="40" t="s">
        <v>552</v>
      </c>
      <c r="B310" s="1">
        <v>5.5</v>
      </c>
      <c r="C310" s="1" t="s">
        <v>40</v>
      </c>
      <c r="D310" s="1" t="s">
        <v>528</v>
      </c>
      <c r="E310" s="1" t="s">
        <v>532</v>
      </c>
      <c r="F310" s="1" t="s">
        <v>40</v>
      </c>
      <c r="G310" s="1" t="s">
        <v>40</v>
      </c>
      <c r="H310" s="1"/>
      <c r="I310" s="1" t="s">
        <v>528</v>
      </c>
      <c r="J310" s="1" t="s">
        <v>532</v>
      </c>
      <c r="K310" s="1" t="s">
        <v>40</v>
      </c>
      <c r="L310" s="1" t="s">
        <v>40</v>
      </c>
    </row>
    <row r="311" spans="1:12" ht="15" customHeight="1" x14ac:dyDescent="0.15">
      <c r="B311" s="1">
        <v>7.5</v>
      </c>
      <c r="C311" s="1" t="s">
        <v>40</v>
      </c>
      <c r="D311" s="1" t="s">
        <v>40</v>
      </c>
      <c r="E311" s="1" t="s">
        <v>533</v>
      </c>
      <c r="F311" s="1" t="s">
        <v>40</v>
      </c>
      <c r="G311" s="1" t="s">
        <v>40</v>
      </c>
      <c r="H311" s="1"/>
      <c r="I311" s="1" t="s">
        <v>40</v>
      </c>
      <c r="J311" s="1" t="s">
        <v>533</v>
      </c>
      <c r="K311" s="1" t="s">
        <v>40</v>
      </c>
      <c r="L311" s="1" t="s">
        <v>40</v>
      </c>
    </row>
    <row r="312" spans="1:12" ht="15" customHeight="1" x14ac:dyDescent="0.15">
      <c r="B312" s="1">
        <v>9.1999999999999993</v>
      </c>
      <c r="C312" s="1" t="s">
        <v>40</v>
      </c>
      <c r="D312" s="1" t="s">
        <v>40</v>
      </c>
      <c r="E312" s="1" t="s">
        <v>533</v>
      </c>
      <c r="F312" s="1" t="s">
        <v>539</v>
      </c>
      <c r="G312" s="1" t="s">
        <v>40</v>
      </c>
      <c r="H312" s="1"/>
      <c r="I312" s="1" t="s">
        <v>40</v>
      </c>
      <c r="J312" s="1" t="s">
        <v>533</v>
      </c>
      <c r="K312" s="1" t="s">
        <v>539</v>
      </c>
      <c r="L312" s="1" t="s">
        <v>40</v>
      </c>
    </row>
    <row r="313" spans="1:12" ht="15" customHeight="1" x14ac:dyDescent="0.15">
      <c r="B313" s="1">
        <v>11</v>
      </c>
      <c r="C313" s="1" t="s">
        <v>40</v>
      </c>
      <c r="D313" s="1" t="s">
        <v>40</v>
      </c>
      <c r="E313" s="1" t="s">
        <v>533</v>
      </c>
      <c r="F313" s="1" t="s">
        <v>539</v>
      </c>
      <c r="G313" s="1" t="s">
        <v>40</v>
      </c>
      <c r="H313" s="1"/>
      <c r="I313" s="1" t="s">
        <v>40</v>
      </c>
      <c r="J313" s="1" t="s">
        <v>533</v>
      </c>
      <c r="K313" s="1" t="s">
        <v>539</v>
      </c>
      <c r="L313" s="1" t="s">
        <v>40</v>
      </c>
    </row>
    <row r="314" spans="1:12" ht="15" customHeight="1" x14ac:dyDescent="0.15">
      <c r="B314" s="1">
        <v>15</v>
      </c>
      <c r="C314" s="1" t="s">
        <v>40</v>
      </c>
      <c r="D314" s="1" t="s">
        <v>40</v>
      </c>
      <c r="E314" s="1" t="s">
        <v>40</v>
      </c>
      <c r="F314" s="1" t="s">
        <v>539</v>
      </c>
      <c r="G314" s="1" t="s">
        <v>40</v>
      </c>
      <c r="H314" s="1"/>
      <c r="I314" s="1" t="s">
        <v>40</v>
      </c>
      <c r="J314" s="1" t="s">
        <v>40</v>
      </c>
      <c r="K314" s="1" t="s">
        <v>539</v>
      </c>
      <c r="L314" s="1" t="s">
        <v>40</v>
      </c>
    </row>
    <row r="315" spans="1:12" ht="15" customHeight="1" x14ac:dyDescent="0.15">
      <c r="B315" s="1">
        <v>18.5</v>
      </c>
      <c r="C315" s="1" t="s">
        <v>40</v>
      </c>
      <c r="D315" s="1" t="s">
        <v>40</v>
      </c>
      <c r="E315" s="1" t="s">
        <v>40</v>
      </c>
      <c r="F315" s="1" t="s">
        <v>539</v>
      </c>
      <c r="G315" s="1" t="s">
        <v>40</v>
      </c>
      <c r="H315" s="1"/>
      <c r="I315" s="1" t="s">
        <v>40</v>
      </c>
      <c r="J315" s="1" t="s">
        <v>40</v>
      </c>
      <c r="K315" s="1" t="s">
        <v>539</v>
      </c>
      <c r="L315" s="1" t="s">
        <v>40</v>
      </c>
    </row>
    <row r="316" spans="1:12" ht="15" customHeight="1" x14ac:dyDescent="0.15">
      <c r="B316" s="1"/>
      <c r="C316" s="1"/>
      <c r="D316" s="1"/>
      <c r="E316" s="1"/>
      <c r="F316" s="1"/>
    </row>
    <row r="318" spans="1:12" ht="15" customHeight="1" x14ac:dyDescent="0.15">
      <c r="B318" s="1" t="s">
        <v>102</v>
      </c>
      <c r="C318" s="7" t="s">
        <v>160</v>
      </c>
      <c r="D318" s="7" t="s">
        <v>161</v>
      </c>
      <c r="E318" s="7" t="s">
        <v>162</v>
      </c>
      <c r="F318" s="7" t="s">
        <v>163</v>
      </c>
      <c r="G318" s="7" t="s">
        <v>164</v>
      </c>
      <c r="H318" s="7" t="s">
        <v>253</v>
      </c>
      <c r="I318" s="7" t="s">
        <v>254</v>
      </c>
      <c r="J318" s="7" t="s">
        <v>255</v>
      </c>
      <c r="K318" s="7" t="s">
        <v>256</v>
      </c>
      <c r="L318" s="45" t="s">
        <v>257</v>
      </c>
    </row>
    <row r="319" spans="1:12" ht="15" customHeight="1" x14ac:dyDescent="0.15">
      <c r="A319" s="2" t="s">
        <v>505</v>
      </c>
      <c r="B319" s="1">
        <v>4</v>
      </c>
      <c r="C319" s="1" t="s">
        <v>40</v>
      </c>
      <c r="D319" s="1" t="s">
        <v>528</v>
      </c>
      <c r="E319" s="1" t="s">
        <v>40</v>
      </c>
      <c r="F319" s="1" t="s">
        <v>40</v>
      </c>
      <c r="G319" s="1" t="s">
        <v>40</v>
      </c>
      <c r="H319" s="1"/>
      <c r="I319" s="1" t="s">
        <v>528</v>
      </c>
      <c r="J319" s="1" t="s">
        <v>40</v>
      </c>
      <c r="K319" s="1" t="s">
        <v>40</v>
      </c>
      <c r="L319" s="1" t="s">
        <v>40</v>
      </c>
    </row>
    <row r="320" spans="1:12" ht="15" customHeight="1" x14ac:dyDescent="0.15">
      <c r="A320" s="40" t="s">
        <v>553</v>
      </c>
      <c r="B320" s="1">
        <v>5.5</v>
      </c>
      <c r="C320" s="1" t="s">
        <v>40</v>
      </c>
      <c r="D320" s="1" t="s">
        <v>528</v>
      </c>
      <c r="E320" s="1" t="s">
        <v>532</v>
      </c>
      <c r="F320" s="1" t="s">
        <v>40</v>
      </c>
      <c r="G320" s="1" t="s">
        <v>40</v>
      </c>
      <c r="H320" s="1"/>
      <c r="I320" s="1" t="s">
        <v>528</v>
      </c>
      <c r="J320" s="1" t="s">
        <v>532</v>
      </c>
      <c r="K320" s="1" t="s">
        <v>40</v>
      </c>
      <c r="L320" s="1" t="s">
        <v>40</v>
      </c>
    </row>
    <row r="321" spans="1:12" ht="15" customHeight="1" x14ac:dyDescent="0.15">
      <c r="B321" s="1">
        <v>7.5</v>
      </c>
      <c r="C321" s="1" t="s">
        <v>40</v>
      </c>
      <c r="D321" s="1" t="s">
        <v>40</v>
      </c>
      <c r="E321" s="1" t="s">
        <v>533</v>
      </c>
      <c r="F321" s="1" t="s">
        <v>40</v>
      </c>
      <c r="G321" s="1" t="s">
        <v>40</v>
      </c>
      <c r="H321" s="1"/>
      <c r="I321" s="1" t="s">
        <v>40</v>
      </c>
      <c r="J321" s="1" t="s">
        <v>533</v>
      </c>
      <c r="K321" s="1" t="s">
        <v>40</v>
      </c>
      <c r="L321" s="1" t="s">
        <v>40</v>
      </c>
    </row>
    <row r="322" spans="1:12" ht="15" customHeight="1" x14ac:dyDescent="0.15">
      <c r="B322" s="1">
        <v>9.1999999999999993</v>
      </c>
      <c r="C322" s="1" t="s">
        <v>40</v>
      </c>
      <c r="D322" s="1" t="s">
        <v>40</v>
      </c>
      <c r="E322" s="1" t="s">
        <v>533</v>
      </c>
      <c r="F322" s="1" t="s">
        <v>539</v>
      </c>
      <c r="G322" s="1" t="s">
        <v>40</v>
      </c>
      <c r="H322" s="1"/>
      <c r="I322" s="1" t="s">
        <v>40</v>
      </c>
      <c r="J322" s="1" t="s">
        <v>533</v>
      </c>
      <c r="K322" s="1" t="s">
        <v>539</v>
      </c>
      <c r="L322" s="1" t="s">
        <v>40</v>
      </c>
    </row>
    <row r="323" spans="1:12" ht="15" customHeight="1" x14ac:dyDescent="0.15">
      <c r="B323" s="1">
        <v>11</v>
      </c>
      <c r="C323" s="1" t="s">
        <v>40</v>
      </c>
      <c r="D323" s="1" t="s">
        <v>40</v>
      </c>
      <c r="E323" s="1" t="s">
        <v>533</v>
      </c>
      <c r="F323" s="1" t="s">
        <v>539</v>
      </c>
      <c r="G323" s="1" t="s">
        <v>40</v>
      </c>
      <c r="H323" s="1"/>
      <c r="I323" s="1" t="s">
        <v>40</v>
      </c>
      <c r="J323" s="1" t="s">
        <v>533</v>
      </c>
      <c r="K323" s="1" t="s">
        <v>539</v>
      </c>
      <c r="L323" s="1" t="s">
        <v>40</v>
      </c>
    </row>
    <row r="324" spans="1:12" ht="15" customHeight="1" x14ac:dyDescent="0.15">
      <c r="B324" s="1">
        <v>15</v>
      </c>
      <c r="C324" s="1" t="s">
        <v>40</v>
      </c>
      <c r="D324" s="1" t="s">
        <v>40</v>
      </c>
      <c r="E324" s="1" t="s">
        <v>40</v>
      </c>
      <c r="F324" s="1" t="s">
        <v>539</v>
      </c>
      <c r="G324" s="1" t="s">
        <v>540</v>
      </c>
      <c r="H324" s="1"/>
      <c r="I324" s="1" t="s">
        <v>40</v>
      </c>
      <c r="J324" s="1" t="s">
        <v>40</v>
      </c>
      <c r="K324" s="1" t="s">
        <v>539</v>
      </c>
      <c r="L324" s="1" t="s">
        <v>540</v>
      </c>
    </row>
    <row r="325" spans="1:12" ht="15" customHeight="1" x14ac:dyDescent="0.15">
      <c r="B325" s="1">
        <v>18.5</v>
      </c>
      <c r="C325" s="1" t="s">
        <v>40</v>
      </c>
      <c r="D325" s="1" t="s">
        <v>40</v>
      </c>
      <c r="E325" s="1" t="s">
        <v>40</v>
      </c>
      <c r="F325" s="1" t="s">
        <v>539</v>
      </c>
      <c r="G325" s="1" t="s">
        <v>540</v>
      </c>
      <c r="H325" s="1"/>
      <c r="I325" s="1" t="s">
        <v>40</v>
      </c>
      <c r="J325" s="1" t="s">
        <v>40</v>
      </c>
      <c r="K325" s="1" t="s">
        <v>539</v>
      </c>
      <c r="L325" s="1" t="s">
        <v>540</v>
      </c>
    </row>
    <row r="326" spans="1:12" ht="15" customHeight="1" x14ac:dyDescent="0.15">
      <c r="B326" s="1">
        <v>22</v>
      </c>
      <c r="C326" s="42" t="s">
        <v>40</v>
      </c>
      <c r="D326" s="42" t="s">
        <v>40</v>
      </c>
      <c r="E326" s="42" t="s">
        <v>40</v>
      </c>
      <c r="F326" s="42" t="s">
        <v>40</v>
      </c>
      <c r="G326" s="1" t="s">
        <v>540</v>
      </c>
      <c r="H326" s="1"/>
      <c r="I326" s="42" t="s">
        <v>40</v>
      </c>
      <c r="J326" s="42" t="s">
        <v>40</v>
      </c>
      <c r="K326" s="42" t="s">
        <v>40</v>
      </c>
      <c r="L326" s="1" t="s">
        <v>540</v>
      </c>
    </row>
    <row r="327" spans="1:12" ht="15" customHeight="1" x14ac:dyDescent="0.15">
      <c r="B327" s="1"/>
      <c r="C327" s="1"/>
      <c r="D327" s="1"/>
      <c r="E327" s="1"/>
      <c r="F327" s="1"/>
      <c r="G327" s="1"/>
      <c r="H327" s="1"/>
    </row>
    <row r="329" spans="1:12" ht="15" customHeight="1" x14ac:dyDescent="0.15">
      <c r="B329" s="1" t="s">
        <v>102</v>
      </c>
      <c r="C329" s="7" t="s">
        <v>160</v>
      </c>
      <c r="D329" s="7" t="s">
        <v>161</v>
      </c>
      <c r="E329" s="7" t="s">
        <v>162</v>
      </c>
      <c r="F329" s="7" t="s">
        <v>163</v>
      </c>
      <c r="G329" s="7" t="s">
        <v>164</v>
      </c>
      <c r="H329" s="7" t="s">
        <v>253</v>
      </c>
      <c r="I329" s="7" t="s">
        <v>254</v>
      </c>
      <c r="J329" s="7" t="s">
        <v>255</v>
      </c>
      <c r="K329" s="7" t="s">
        <v>256</v>
      </c>
      <c r="L329" s="45" t="s">
        <v>257</v>
      </c>
    </row>
    <row r="330" spans="1:12" ht="15" customHeight="1" x14ac:dyDescent="0.15">
      <c r="A330" s="2" t="s">
        <v>506</v>
      </c>
      <c r="B330" s="1">
        <v>4</v>
      </c>
      <c r="C330" s="1" t="s">
        <v>40</v>
      </c>
      <c r="D330" s="1" t="s">
        <v>40</v>
      </c>
      <c r="E330" s="1" t="s">
        <v>40</v>
      </c>
      <c r="F330" s="1" t="s">
        <v>40</v>
      </c>
      <c r="G330" s="1" t="s">
        <v>40</v>
      </c>
      <c r="H330" s="1"/>
      <c r="I330" s="1" t="s">
        <v>40</v>
      </c>
      <c r="J330" s="1" t="s">
        <v>40</v>
      </c>
      <c r="K330" s="1" t="s">
        <v>40</v>
      </c>
      <c r="L330" s="1" t="s">
        <v>40</v>
      </c>
    </row>
    <row r="331" spans="1:12" ht="15" customHeight="1" x14ac:dyDescent="0.15">
      <c r="A331" s="40" t="s">
        <v>554</v>
      </c>
      <c r="B331" s="1">
        <v>5.5</v>
      </c>
      <c r="C331" s="1" t="s">
        <v>40</v>
      </c>
      <c r="D331" s="1" t="s">
        <v>40</v>
      </c>
      <c r="E331" s="1" t="s">
        <v>40</v>
      </c>
      <c r="F331" s="1" t="s">
        <v>40</v>
      </c>
      <c r="G331" s="1" t="s">
        <v>40</v>
      </c>
      <c r="H331" s="1"/>
      <c r="I331" s="1" t="s">
        <v>40</v>
      </c>
      <c r="J331" s="1" t="s">
        <v>40</v>
      </c>
      <c r="K331" s="1" t="s">
        <v>40</v>
      </c>
      <c r="L331" s="1" t="s">
        <v>40</v>
      </c>
    </row>
    <row r="332" spans="1:12" ht="15" customHeight="1" x14ac:dyDescent="0.15">
      <c r="B332" s="1">
        <v>7.5</v>
      </c>
      <c r="C332" s="1" t="s">
        <v>40</v>
      </c>
      <c r="D332" s="1" t="s">
        <v>40</v>
      </c>
      <c r="E332" s="1" t="s">
        <v>535</v>
      </c>
      <c r="F332" s="1" t="s">
        <v>40</v>
      </c>
      <c r="G332" s="1" t="s">
        <v>40</v>
      </c>
      <c r="H332" s="1"/>
      <c r="I332" s="1" t="s">
        <v>40</v>
      </c>
      <c r="J332" s="1" t="s">
        <v>535</v>
      </c>
      <c r="K332" s="1" t="s">
        <v>40</v>
      </c>
      <c r="L332" s="1" t="s">
        <v>40</v>
      </c>
    </row>
    <row r="333" spans="1:12" ht="15" customHeight="1" x14ac:dyDescent="0.15">
      <c r="B333" s="1">
        <v>9.1999999999999993</v>
      </c>
      <c r="C333" s="1" t="s">
        <v>40</v>
      </c>
      <c r="D333" s="1" t="s">
        <v>40</v>
      </c>
      <c r="E333" s="1" t="s">
        <v>535</v>
      </c>
      <c r="F333" s="1" t="s">
        <v>536</v>
      </c>
      <c r="G333" s="1" t="s">
        <v>40</v>
      </c>
      <c r="H333" s="1"/>
      <c r="I333" s="1" t="s">
        <v>40</v>
      </c>
      <c r="J333" s="1" t="s">
        <v>535</v>
      </c>
      <c r="K333" s="1" t="s">
        <v>536</v>
      </c>
      <c r="L333" s="1" t="s">
        <v>40</v>
      </c>
    </row>
    <row r="334" spans="1:12" ht="15" customHeight="1" x14ac:dyDescent="0.15">
      <c r="B334" s="1">
        <v>11</v>
      </c>
      <c r="C334" s="1" t="s">
        <v>40</v>
      </c>
      <c r="D334" s="1" t="s">
        <v>40</v>
      </c>
      <c r="E334" s="1" t="s">
        <v>535</v>
      </c>
      <c r="F334" s="1" t="s">
        <v>536</v>
      </c>
      <c r="G334" s="1" t="s">
        <v>40</v>
      </c>
      <c r="H334" s="1"/>
      <c r="I334" s="1" t="s">
        <v>40</v>
      </c>
      <c r="J334" s="1" t="s">
        <v>535</v>
      </c>
      <c r="K334" s="1" t="s">
        <v>536</v>
      </c>
      <c r="L334" s="1" t="s">
        <v>40</v>
      </c>
    </row>
    <row r="335" spans="1:12" ht="15" customHeight="1" x14ac:dyDescent="0.15">
      <c r="B335" s="1">
        <v>15</v>
      </c>
      <c r="C335" s="1" t="s">
        <v>40</v>
      </c>
      <c r="D335" s="1" t="s">
        <v>40</v>
      </c>
      <c r="E335" s="1" t="s">
        <v>535</v>
      </c>
      <c r="F335" s="1" t="s">
        <v>536</v>
      </c>
      <c r="G335" s="1" t="s">
        <v>541</v>
      </c>
      <c r="H335" s="1"/>
      <c r="I335" s="1" t="s">
        <v>40</v>
      </c>
      <c r="J335" s="1" t="s">
        <v>535</v>
      </c>
      <c r="K335" s="1" t="s">
        <v>536</v>
      </c>
      <c r="L335" s="1" t="s">
        <v>541</v>
      </c>
    </row>
    <row r="336" spans="1:12" ht="15" customHeight="1" x14ac:dyDescent="0.15">
      <c r="B336" s="1">
        <v>18.5</v>
      </c>
      <c r="C336" s="1" t="s">
        <v>40</v>
      </c>
      <c r="D336" s="1" t="s">
        <v>40</v>
      </c>
      <c r="E336" s="1" t="s">
        <v>40</v>
      </c>
      <c r="F336" s="1" t="s">
        <v>536</v>
      </c>
      <c r="G336" s="1" t="s">
        <v>541</v>
      </c>
      <c r="H336" s="1"/>
      <c r="I336" s="1" t="s">
        <v>40</v>
      </c>
      <c r="J336" s="1" t="s">
        <v>40</v>
      </c>
      <c r="K336" s="1" t="s">
        <v>536</v>
      </c>
      <c r="L336" s="1" t="s">
        <v>541</v>
      </c>
    </row>
    <row r="337" spans="1:12" ht="15" customHeight="1" x14ac:dyDescent="0.15">
      <c r="B337" s="1">
        <v>22</v>
      </c>
      <c r="C337" s="1" t="s">
        <v>40</v>
      </c>
      <c r="D337" s="1" t="s">
        <v>40</v>
      </c>
      <c r="E337" s="1" t="s">
        <v>40</v>
      </c>
      <c r="F337" s="1" t="s">
        <v>536</v>
      </c>
      <c r="G337" s="1" t="s">
        <v>541</v>
      </c>
      <c r="H337" s="1"/>
      <c r="I337" s="1" t="s">
        <v>40</v>
      </c>
      <c r="J337" s="1" t="s">
        <v>40</v>
      </c>
      <c r="K337" s="1" t="s">
        <v>536</v>
      </c>
      <c r="L337" s="1" t="s">
        <v>541</v>
      </c>
    </row>
    <row r="338" spans="1:12" ht="15" customHeight="1" x14ac:dyDescent="0.15">
      <c r="B338" s="1"/>
      <c r="C338" s="1"/>
      <c r="D338" s="1"/>
      <c r="E338" s="1"/>
      <c r="F338" s="1"/>
      <c r="G338" s="1"/>
      <c r="H338" s="1"/>
    </row>
    <row r="340" spans="1:12" ht="15" customHeight="1" x14ac:dyDescent="0.15">
      <c r="B340" s="1" t="s">
        <v>102</v>
      </c>
      <c r="C340" s="7" t="s">
        <v>160</v>
      </c>
      <c r="D340" s="7" t="s">
        <v>161</v>
      </c>
      <c r="E340" s="7" t="s">
        <v>162</v>
      </c>
      <c r="F340" s="7" t="s">
        <v>163</v>
      </c>
      <c r="G340" s="7" t="s">
        <v>164</v>
      </c>
      <c r="H340" s="7" t="s">
        <v>253</v>
      </c>
      <c r="I340" s="7" t="s">
        <v>254</v>
      </c>
      <c r="J340" s="7" t="s">
        <v>255</v>
      </c>
      <c r="K340" s="7" t="s">
        <v>256</v>
      </c>
      <c r="L340" s="45" t="s">
        <v>257</v>
      </c>
    </row>
    <row r="341" spans="1:12" ht="15" customHeight="1" x14ac:dyDescent="0.15">
      <c r="A341" s="31" t="s">
        <v>555</v>
      </c>
      <c r="B341" s="1">
        <v>4</v>
      </c>
      <c r="C341" s="1" t="s">
        <v>40</v>
      </c>
      <c r="D341" s="1" t="s">
        <v>40</v>
      </c>
      <c r="E341" s="1" t="s">
        <v>40</v>
      </c>
      <c r="F341" s="1" t="s">
        <v>40</v>
      </c>
      <c r="G341" s="1" t="s">
        <v>40</v>
      </c>
      <c r="H341" s="1"/>
      <c r="I341" s="1" t="s">
        <v>40</v>
      </c>
      <c r="J341" s="1" t="s">
        <v>40</v>
      </c>
      <c r="K341" s="1" t="s">
        <v>40</v>
      </c>
      <c r="L341" s="1" t="s">
        <v>40</v>
      </c>
    </row>
    <row r="342" spans="1:12" ht="15" customHeight="1" x14ac:dyDescent="0.15">
      <c r="A342" s="40" t="s">
        <v>556</v>
      </c>
      <c r="B342" s="1">
        <v>5.5</v>
      </c>
      <c r="C342" s="1" t="s">
        <v>40</v>
      </c>
      <c r="D342" s="1" t="s">
        <v>40</v>
      </c>
      <c r="E342" s="1" t="s">
        <v>40</v>
      </c>
      <c r="F342" s="1" t="s">
        <v>40</v>
      </c>
      <c r="G342" s="1" t="s">
        <v>40</v>
      </c>
      <c r="H342" s="1"/>
      <c r="I342" s="1" t="s">
        <v>40</v>
      </c>
      <c r="J342" s="1" t="s">
        <v>40</v>
      </c>
      <c r="K342" s="1" t="s">
        <v>40</v>
      </c>
      <c r="L342" s="1" t="s">
        <v>40</v>
      </c>
    </row>
    <row r="343" spans="1:12" ht="15" customHeight="1" x14ac:dyDescent="0.15">
      <c r="B343" s="1">
        <v>7.5</v>
      </c>
      <c r="C343" s="1" t="s">
        <v>40</v>
      </c>
      <c r="D343" s="1" t="s">
        <v>40</v>
      </c>
      <c r="E343" s="1" t="s">
        <v>40</v>
      </c>
      <c r="F343" s="1" t="s">
        <v>40</v>
      </c>
      <c r="G343" s="1" t="s">
        <v>40</v>
      </c>
      <c r="H343" s="1"/>
      <c r="I343" s="1" t="s">
        <v>40</v>
      </c>
      <c r="J343" s="1" t="s">
        <v>40</v>
      </c>
      <c r="K343" s="1" t="s">
        <v>40</v>
      </c>
      <c r="L343" s="1" t="s">
        <v>40</v>
      </c>
    </row>
    <row r="344" spans="1:12" ht="15" customHeight="1" x14ac:dyDescent="0.15">
      <c r="B344" s="1">
        <v>9.1999999999999993</v>
      </c>
      <c r="C344" s="1" t="s">
        <v>40</v>
      </c>
      <c r="D344" s="1" t="s">
        <v>40</v>
      </c>
      <c r="E344" s="1" t="s">
        <v>40</v>
      </c>
      <c r="F344" s="1" t="s">
        <v>540</v>
      </c>
      <c r="G344" s="1" t="s">
        <v>40</v>
      </c>
      <c r="H344" s="1"/>
      <c r="I344" s="1" t="s">
        <v>40</v>
      </c>
      <c r="J344" s="1" t="s">
        <v>40</v>
      </c>
      <c r="K344" s="1" t="s">
        <v>540</v>
      </c>
      <c r="L344" s="1" t="s">
        <v>40</v>
      </c>
    </row>
    <row r="345" spans="1:12" ht="15" customHeight="1" x14ac:dyDescent="0.15">
      <c r="B345" s="1">
        <v>11</v>
      </c>
      <c r="C345" s="1" t="s">
        <v>40</v>
      </c>
      <c r="D345" s="1" t="s">
        <v>40</v>
      </c>
      <c r="E345" s="1" t="s">
        <v>40</v>
      </c>
      <c r="F345" s="1" t="s">
        <v>540</v>
      </c>
      <c r="G345" s="1" t="s">
        <v>542</v>
      </c>
      <c r="H345" s="1"/>
      <c r="I345" s="1" t="s">
        <v>40</v>
      </c>
      <c r="J345" s="1" t="s">
        <v>40</v>
      </c>
      <c r="K345" s="1" t="s">
        <v>540</v>
      </c>
      <c r="L345" s="1" t="s">
        <v>542</v>
      </c>
    </row>
    <row r="346" spans="1:12" ht="15" customHeight="1" x14ac:dyDescent="0.15">
      <c r="B346" s="1">
        <v>15</v>
      </c>
      <c r="C346" s="1" t="s">
        <v>40</v>
      </c>
      <c r="D346" s="1" t="s">
        <v>40</v>
      </c>
      <c r="E346" s="1" t="s">
        <v>40</v>
      </c>
      <c r="F346" s="1" t="s">
        <v>540</v>
      </c>
      <c r="G346" s="1" t="s">
        <v>542</v>
      </c>
      <c r="H346" s="1"/>
      <c r="I346" s="1" t="s">
        <v>40</v>
      </c>
      <c r="J346" s="1" t="s">
        <v>40</v>
      </c>
      <c r="K346" s="1" t="s">
        <v>540</v>
      </c>
      <c r="L346" s="1" t="s">
        <v>542</v>
      </c>
    </row>
    <row r="347" spans="1:12" ht="15" customHeight="1" x14ac:dyDescent="0.15">
      <c r="B347" s="1">
        <v>18.5</v>
      </c>
      <c r="C347" s="1" t="s">
        <v>40</v>
      </c>
      <c r="D347" s="1" t="s">
        <v>40</v>
      </c>
      <c r="E347" s="1" t="s">
        <v>40</v>
      </c>
      <c r="F347" s="1" t="s">
        <v>540</v>
      </c>
      <c r="G347" s="1" t="s">
        <v>542</v>
      </c>
      <c r="H347" s="1"/>
      <c r="I347" s="1" t="s">
        <v>40</v>
      </c>
      <c r="J347" s="1" t="s">
        <v>40</v>
      </c>
      <c r="K347" s="1" t="s">
        <v>540</v>
      </c>
      <c r="L347" s="1" t="s">
        <v>542</v>
      </c>
    </row>
    <row r="348" spans="1:12" ht="15" customHeight="1" x14ac:dyDescent="0.15">
      <c r="B348" s="1">
        <v>22</v>
      </c>
      <c r="C348" s="1" t="s">
        <v>40</v>
      </c>
      <c r="D348" s="1" t="s">
        <v>40</v>
      </c>
      <c r="E348" s="1" t="s">
        <v>40</v>
      </c>
      <c r="F348" s="1" t="s">
        <v>40</v>
      </c>
      <c r="G348" s="1" t="s">
        <v>542</v>
      </c>
      <c r="H348" s="1"/>
      <c r="I348" s="1" t="s">
        <v>40</v>
      </c>
      <c r="J348" s="1" t="s">
        <v>40</v>
      </c>
      <c r="K348" s="1" t="s">
        <v>40</v>
      </c>
      <c r="L348" s="1" t="s">
        <v>542</v>
      </c>
    </row>
    <row r="355" spans="1:16" ht="15" customHeight="1" x14ac:dyDescent="0.15">
      <c r="A355" s="40" t="s">
        <v>589</v>
      </c>
      <c r="E355" s="279" t="s">
        <v>588</v>
      </c>
      <c r="F355" s="279"/>
      <c r="G355" s="279"/>
      <c r="H355" s="279"/>
      <c r="J355" s="279" t="s">
        <v>620</v>
      </c>
      <c r="K355" s="279"/>
      <c r="L355" s="279"/>
      <c r="M355" s="279"/>
    </row>
    <row r="356" spans="1:16" ht="15" customHeight="1" x14ac:dyDescent="0.15">
      <c r="B356" s="40"/>
      <c r="C356" s="1" t="s">
        <v>559</v>
      </c>
      <c r="D356" s="1" t="s">
        <v>560</v>
      </c>
      <c r="E356" s="1" t="s">
        <v>287</v>
      </c>
      <c r="F356" s="1" t="s">
        <v>288</v>
      </c>
      <c r="G356" s="1" t="s">
        <v>289</v>
      </c>
      <c r="H356" s="1" t="s">
        <v>290</v>
      </c>
      <c r="I356" s="1" t="s">
        <v>561</v>
      </c>
      <c r="J356" s="1" t="s">
        <v>610</v>
      </c>
      <c r="K356" s="1" t="s">
        <v>295</v>
      </c>
      <c r="L356" s="1" t="s">
        <v>600</v>
      </c>
      <c r="M356" s="1" t="s">
        <v>611</v>
      </c>
      <c r="N356" s="1" t="s">
        <v>1262</v>
      </c>
      <c r="O356" s="1" t="s">
        <v>238</v>
      </c>
    </row>
    <row r="357" spans="1:16" ht="15" customHeight="1" x14ac:dyDescent="0.15">
      <c r="B357" s="31" t="s">
        <v>160</v>
      </c>
      <c r="C357" s="1">
        <v>60</v>
      </c>
      <c r="D357" s="1">
        <v>1</v>
      </c>
      <c r="E357" s="1" t="s">
        <v>562</v>
      </c>
      <c r="F357" s="1" t="s">
        <v>563</v>
      </c>
      <c r="G357" s="1" t="s">
        <v>564</v>
      </c>
      <c r="H357" s="1" t="s">
        <v>40</v>
      </c>
      <c r="I357" s="1" t="s">
        <v>565</v>
      </c>
      <c r="J357" s="1" t="s">
        <v>621</v>
      </c>
      <c r="K357" s="1" t="s">
        <v>621</v>
      </c>
      <c r="L357" s="1" t="s">
        <v>621</v>
      </c>
      <c r="M357" s="1" t="s">
        <v>621</v>
      </c>
      <c r="N357" s="1" t="s">
        <v>621</v>
      </c>
      <c r="O357" s="1">
        <v>1</v>
      </c>
      <c r="P357" s="16"/>
    </row>
    <row r="358" spans="1:16" ht="15" customHeight="1" x14ac:dyDescent="0.15">
      <c r="B358" s="31" t="s">
        <v>161</v>
      </c>
      <c r="C358" s="1">
        <v>70</v>
      </c>
      <c r="D358" s="1">
        <v>2</v>
      </c>
      <c r="E358" s="1" t="s">
        <v>566</v>
      </c>
      <c r="F358" s="1" t="s">
        <v>567</v>
      </c>
      <c r="G358" s="1" t="s">
        <v>568</v>
      </c>
      <c r="H358" s="1" t="s">
        <v>40</v>
      </c>
      <c r="I358" s="1" t="s">
        <v>569</v>
      </c>
      <c r="J358" s="1" t="s">
        <v>612</v>
      </c>
      <c r="K358" s="1" t="s">
        <v>613</v>
      </c>
      <c r="L358" s="1" t="s">
        <v>614</v>
      </c>
      <c r="M358" s="1" t="s">
        <v>615</v>
      </c>
      <c r="N358" s="1">
        <v>25</v>
      </c>
      <c r="O358" s="1">
        <v>2</v>
      </c>
      <c r="P358" s="16"/>
    </row>
    <row r="359" spans="1:16" ht="15" customHeight="1" x14ac:dyDescent="0.15">
      <c r="B359" s="31" t="s">
        <v>162</v>
      </c>
      <c r="C359" s="1">
        <v>90</v>
      </c>
      <c r="D359" s="1">
        <v>3</v>
      </c>
      <c r="E359" s="1" t="s">
        <v>1724</v>
      </c>
      <c r="F359" s="1" t="s">
        <v>571</v>
      </c>
      <c r="G359" s="1" t="s">
        <v>1710</v>
      </c>
      <c r="H359" s="1" t="s">
        <v>40</v>
      </c>
      <c r="I359" s="1" t="s">
        <v>572</v>
      </c>
      <c r="J359" s="1" t="s">
        <v>612</v>
      </c>
      <c r="K359" s="1" t="s">
        <v>613</v>
      </c>
      <c r="L359" s="1" t="s">
        <v>614</v>
      </c>
      <c r="M359" s="1" t="s">
        <v>615</v>
      </c>
      <c r="N359" s="1">
        <v>25</v>
      </c>
      <c r="O359" s="1">
        <v>3</v>
      </c>
      <c r="P359" s="16"/>
    </row>
    <row r="360" spans="1:16" ht="15" customHeight="1" x14ac:dyDescent="0.15">
      <c r="B360" s="31" t="s">
        <v>163</v>
      </c>
      <c r="C360" s="1">
        <v>100</v>
      </c>
      <c r="D360" s="1">
        <v>4</v>
      </c>
      <c r="E360" s="42" t="str">
        <f>IF(flg_br=0,"UNI 5737-M36x160-8.8","UNI 5739-M36x130-8.8")</f>
        <v>UNI 5739-M36x130-8.8</v>
      </c>
      <c r="F360" s="1" t="s">
        <v>573</v>
      </c>
      <c r="G360" s="42" t="s">
        <v>40</v>
      </c>
      <c r="H360" s="42" t="s">
        <v>574</v>
      </c>
      <c r="I360" s="42" t="s">
        <v>575</v>
      </c>
      <c r="J360" s="1" t="s">
        <v>616</v>
      </c>
      <c r="K360" s="1" t="s">
        <v>617</v>
      </c>
      <c r="L360" s="1" t="s">
        <v>618</v>
      </c>
      <c r="M360" s="1" t="s">
        <v>619</v>
      </c>
      <c r="N360" s="1">
        <v>40</v>
      </c>
      <c r="O360" s="1">
        <v>4</v>
      </c>
      <c r="P360" s="16"/>
    </row>
    <row r="361" spans="1:16" ht="15" customHeight="1" x14ac:dyDescent="0.15">
      <c r="B361" s="31" t="s">
        <v>164</v>
      </c>
      <c r="C361" s="1">
        <v>120</v>
      </c>
      <c r="D361" s="1">
        <v>5</v>
      </c>
      <c r="E361" s="42" t="str">
        <f>IF(flg_br=0,"UNI 5737-M36x160-8.8","UNI 5739-M36x140-8.8")</f>
        <v>UNI 5739-M36x140-8.8</v>
      </c>
      <c r="F361" s="1" t="s">
        <v>573</v>
      </c>
      <c r="G361" s="42" t="s">
        <v>40</v>
      </c>
      <c r="H361" s="42" t="s">
        <v>574</v>
      </c>
      <c r="I361" s="42" t="s">
        <v>576</v>
      </c>
      <c r="J361" s="1" t="s">
        <v>616</v>
      </c>
      <c r="K361" s="1" t="s">
        <v>617</v>
      </c>
      <c r="L361" s="1" t="s">
        <v>618</v>
      </c>
      <c r="M361" s="1" t="s">
        <v>619</v>
      </c>
      <c r="N361" s="1">
        <v>40</v>
      </c>
      <c r="O361" s="1">
        <v>5</v>
      </c>
      <c r="P361" s="16"/>
    </row>
    <row r="362" spans="1:16" ht="15" customHeight="1" x14ac:dyDescent="0.15">
      <c r="B362" s="31" t="s">
        <v>253</v>
      </c>
      <c r="C362" s="1">
        <v>65</v>
      </c>
      <c r="D362" s="1">
        <v>6</v>
      </c>
      <c r="E362" s="1" t="s">
        <v>562</v>
      </c>
      <c r="F362" s="1" t="s">
        <v>563</v>
      </c>
      <c r="G362" s="1" t="s">
        <v>564</v>
      </c>
      <c r="H362" s="1" t="s">
        <v>40</v>
      </c>
      <c r="I362" s="1" t="s">
        <v>565</v>
      </c>
      <c r="J362" s="1" t="s">
        <v>621</v>
      </c>
      <c r="K362" s="1" t="s">
        <v>621</v>
      </c>
      <c r="L362" s="1" t="s">
        <v>621</v>
      </c>
      <c r="M362" s="1" t="s">
        <v>621</v>
      </c>
      <c r="N362" s="1" t="s">
        <v>621</v>
      </c>
      <c r="O362" s="1">
        <v>11</v>
      </c>
      <c r="P362" s="16"/>
    </row>
    <row r="363" spans="1:16" ht="15" customHeight="1" x14ac:dyDescent="0.15">
      <c r="B363" s="31" t="s">
        <v>254</v>
      </c>
      <c r="C363" s="1">
        <v>75</v>
      </c>
      <c r="D363" s="1">
        <v>7</v>
      </c>
      <c r="E363" s="1" t="s">
        <v>566</v>
      </c>
      <c r="F363" s="1" t="s">
        <v>567</v>
      </c>
      <c r="G363" s="1" t="s">
        <v>568</v>
      </c>
      <c r="H363" s="1" t="s">
        <v>40</v>
      </c>
      <c r="I363" s="1" t="s">
        <v>569</v>
      </c>
      <c r="J363" s="1" t="s">
        <v>612</v>
      </c>
      <c r="K363" s="1" t="s">
        <v>613</v>
      </c>
      <c r="L363" s="1" t="s">
        <v>614</v>
      </c>
      <c r="M363" s="1" t="s">
        <v>615</v>
      </c>
      <c r="N363" s="1">
        <v>25</v>
      </c>
      <c r="O363" s="1">
        <v>12</v>
      </c>
      <c r="P363" s="16"/>
    </row>
    <row r="364" spans="1:16" ht="15" customHeight="1" x14ac:dyDescent="0.15">
      <c r="B364" s="31" t="s">
        <v>255</v>
      </c>
      <c r="C364" s="1">
        <v>95</v>
      </c>
      <c r="D364" s="1">
        <v>8</v>
      </c>
      <c r="E364" s="1" t="s">
        <v>1724</v>
      </c>
      <c r="F364" s="1" t="s">
        <v>571</v>
      </c>
      <c r="G364" s="1" t="s">
        <v>1710</v>
      </c>
      <c r="H364" s="1" t="s">
        <v>40</v>
      </c>
      <c r="I364" s="1" t="s">
        <v>572</v>
      </c>
      <c r="J364" s="1" t="s">
        <v>612</v>
      </c>
      <c r="K364" s="1" t="s">
        <v>613</v>
      </c>
      <c r="L364" s="1" t="s">
        <v>614</v>
      </c>
      <c r="M364" s="1" t="s">
        <v>615</v>
      </c>
      <c r="N364" s="1">
        <v>25</v>
      </c>
      <c r="O364" s="1">
        <v>13</v>
      </c>
      <c r="P364" s="16"/>
    </row>
    <row r="365" spans="1:16" ht="15" customHeight="1" x14ac:dyDescent="0.15">
      <c r="B365" s="31" t="s">
        <v>256</v>
      </c>
      <c r="C365" s="1">
        <v>105</v>
      </c>
      <c r="D365" s="1">
        <v>9</v>
      </c>
      <c r="E365" s="42" t="str">
        <f>IF(flg_br=0,"UNI 5737-M36x160-8.8","UNI 5739-M36x130-8.8")</f>
        <v>UNI 5739-M36x130-8.8</v>
      </c>
      <c r="F365" s="1" t="s">
        <v>573</v>
      </c>
      <c r="G365" s="42" t="s">
        <v>40</v>
      </c>
      <c r="H365" s="42" t="s">
        <v>574</v>
      </c>
      <c r="I365" s="42" t="s">
        <v>575</v>
      </c>
      <c r="J365" s="1" t="s">
        <v>616</v>
      </c>
      <c r="K365" s="1" t="s">
        <v>617</v>
      </c>
      <c r="L365" s="1" t="s">
        <v>618</v>
      </c>
      <c r="M365" s="1" t="s">
        <v>619</v>
      </c>
      <c r="N365" s="1">
        <v>40</v>
      </c>
      <c r="O365" s="1">
        <v>14</v>
      </c>
      <c r="P365" s="16"/>
    </row>
    <row r="366" spans="1:16" ht="15" customHeight="1" x14ac:dyDescent="0.15">
      <c r="B366" s="31" t="s">
        <v>257</v>
      </c>
      <c r="C366" s="1">
        <v>125</v>
      </c>
      <c r="D366" s="1">
        <v>10</v>
      </c>
      <c r="E366" s="42" t="str">
        <f>IF(flg_br=0,"UNI 5737-M36x160-8.8","UNI 5739-M36x140-8.8")</f>
        <v>UNI 5739-M36x140-8.8</v>
      </c>
      <c r="F366" s="1" t="s">
        <v>573</v>
      </c>
      <c r="G366" s="42" t="s">
        <v>40</v>
      </c>
      <c r="H366" s="42" t="s">
        <v>574</v>
      </c>
      <c r="I366" s="42" t="s">
        <v>576</v>
      </c>
      <c r="J366" s="1" t="s">
        <v>616</v>
      </c>
      <c r="K366" s="1" t="s">
        <v>617</v>
      </c>
      <c r="L366" s="1" t="s">
        <v>618</v>
      </c>
      <c r="M366" s="1" t="s">
        <v>619</v>
      </c>
      <c r="N366" s="1">
        <v>40</v>
      </c>
      <c r="O366" s="1">
        <v>15</v>
      </c>
      <c r="P366" s="16"/>
    </row>
    <row r="367" spans="1:16" ht="15" customHeight="1" x14ac:dyDescent="0.15">
      <c r="B367" s="31" t="s">
        <v>40</v>
      </c>
      <c r="C367" s="1" t="s">
        <v>40</v>
      </c>
      <c r="D367" s="1" t="s">
        <v>40</v>
      </c>
      <c r="E367" s="1" t="s">
        <v>40</v>
      </c>
      <c r="F367" s="1" t="s">
        <v>40</v>
      </c>
      <c r="G367" s="1" t="s">
        <v>40</v>
      </c>
      <c r="H367" s="1" t="s">
        <v>40</v>
      </c>
      <c r="I367" s="1" t="s">
        <v>40</v>
      </c>
      <c r="J367" s="1" t="s">
        <v>40</v>
      </c>
      <c r="K367" s="1" t="s">
        <v>40</v>
      </c>
      <c r="L367" s="1" t="s">
        <v>40</v>
      </c>
      <c r="M367" s="1" t="s">
        <v>40</v>
      </c>
      <c r="N367" s="1" t="s">
        <v>40</v>
      </c>
      <c r="O367" s="1" t="s">
        <v>40</v>
      </c>
      <c r="P367" s="16"/>
    </row>
    <row r="368" spans="1:16" ht="15" customHeight="1" x14ac:dyDescent="0.15">
      <c r="B368" s="31" t="s">
        <v>1689</v>
      </c>
      <c r="C368" s="1">
        <v>75</v>
      </c>
      <c r="D368" s="1">
        <v>11</v>
      </c>
      <c r="E368" s="1" t="s">
        <v>566</v>
      </c>
      <c r="F368" s="1" t="s">
        <v>567</v>
      </c>
      <c r="G368" s="1" t="s">
        <v>568</v>
      </c>
      <c r="H368" s="1" t="s">
        <v>40</v>
      </c>
      <c r="I368" s="1" t="s">
        <v>569</v>
      </c>
      <c r="J368" s="1" t="s">
        <v>612</v>
      </c>
      <c r="K368" s="1" t="s">
        <v>613</v>
      </c>
      <c r="L368" s="1" t="s">
        <v>614</v>
      </c>
      <c r="M368" s="1" t="s">
        <v>615</v>
      </c>
      <c r="N368" s="1">
        <v>25</v>
      </c>
      <c r="O368" s="1">
        <v>42</v>
      </c>
      <c r="P368" s="16"/>
    </row>
    <row r="369" spans="2:16" ht="15" customHeight="1" x14ac:dyDescent="0.15">
      <c r="B369" s="31" t="s">
        <v>1690</v>
      </c>
      <c r="C369" s="1">
        <v>95</v>
      </c>
      <c r="D369" s="1">
        <v>12</v>
      </c>
      <c r="E369" s="1" t="s">
        <v>570</v>
      </c>
      <c r="F369" s="1" t="s">
        <v>571</v>
      </c>
      <c r="G369" s="1" t="s">
        <v>40</v>
      </c>
      <c r="H369" s="1" t="s">
        <v>583</v>
      </c>
      <c r="I369" s="80" t="s">
        <v>1700</v>
      </c>
      <c r="J369" s="1" t="s">
        <v>612</v>
      </c>
      <c r="K369" s="1" t="s">
        <v>613</v>
      </c>
      <c r="L369" s="1" t="s">
        <v>614</v>
      </c>
      <c r="M369" s="1" t="s">
        <v>615</v>
      </c>
      <c r="N369" s="1">
        <v>25</v>
      </c>
      <c r="O369" s="1">
        <v>43</v>
      </c>
      <c r="P369" s="16"/>
    </row>
    <row r="370" spans="2:16" ht="15" customHeight="1" x14ac:dyDescent="0.15">
      <c r="B370" s="31" t="s">
        <v>1675</v>
      </c>
      <c r="C370" s="1">
        <v>105</v>
      </c>
      <c r="D370" s="1">
        <v>13</v>
      </c>
      <c r="E370" s="42" t="str">
        <f>IF(flg_br=0,"UNI 5737-M36x160-8.8","UNI 5739-M36x130-8.8")</f>
        <v>UNI 5739-M36x130-8.8</v>
      </c>
      <c r="F370" s="1" t="s">
        <v>573</v>
      </c>
      <c r="G370" s="42" t="s">
        <v>40</v>
      </c>
      <c r="H370" s="42" t="s">
        <v>574</v>
      </c>
      <c r="I370" s="42" t="s">
        <v>575</v>
      </c>
      <c r="J370" s="1" t="s">
        <v>616</v>
      </c>
      <c r="K370" s="1" t="s">
        <v>617</v>
      </c>
      <c r="L370" s="1" t="s">
        <v>618</v>
      </c>
      <c r="M370" s="1" t="s">
        <v>619</v>
      </c>
      <c r="N370" s="1">
        <v>40</v>
      </c>
      <c r="O370" s="1">
        <v>44</v>
      </c>
      <c r="P370" s="16"/>
    </row>
    <row r="371" spans="2:16" ht="15" customHeight="1" x14ac:dyDescent="0.15">
      <c r="B371" s="31" t="s">
        <v>1676</v>
      </c>
      <c r="C371" s="1">
        <v>125</v>
      </c>
      <c r="D371" s="1">
        <v>14</v>
      </c>
      <c r="E371" s="42" t="str">
        <f>IF(flg_br=0,"UNI 5737-M36x160-8.8","UNI 5739-M36x140-8.8")</f>
        <v>UNI 5739-M36x140-8.8</v>
      </c>
      <c r="F371" s="1" t="s">
        <v>573</v>
      </c>
      <c r="G371" s="42" t="s">
        <v>40</v>
      </c>
      <c r="H371" s="42" t="s">
        <v>574</v>
      </c>
      <c r="I371" s="42" t="s">
        <v>576</v>
      </c>
      <c r="J371" s="1" t="s">
        <v>616</v>
      </c>
      <c r="K371" s="1" t="s">
        <v>617</v>
      </c>
      <c r="L371" s="1" t="s">
        <v>618</v>
      </c>
      <c r="M371" s="1" t="s">
        <v>619</v>
      </c>
      <c r="N371" s="1">
        <v>40</v>
      </c>
      <c r="O371" s="1">
        <v>45</v>
      </c>
      <c r="P371" s="16"/>
    </row>
    <row r="372" spans="2:16" ht="15" customHeight="1" x14ac:dyDescent="0.15">
      <c r="B372" s="31" t="s">
        <v>40</v>
      </c>
      <c r="C372" s="42" t="s">
        <v>40</v>
      </c>
      <c r="D372" s="42" t="s">
        <v>40</v>
      </c>
      <c r="E372" s="42" t="s">
        <v>40</v>
      </c>
      <c r="F372" s="42" t="s">
        <v>40</v>
      </c>
      <c r="G372" s="42" t="s">
        <v>40</v>
      </c>
      <c r="H372" s="42" t="s">
        <v>40</v>
      </c>
      <c r="I372" s="42" t="s">
        <v>40</v>
      </c>
      <c r="J372" s="42" t="s">
        <v>40</v>
      </c>
      <c r="K372" s="42" t="s">
        <v>40</v>
      </c>
      <c r="L372" s="42" t="s">
        <v>40</v>
      </c>
      <c r="M372" s="42" t="s">
        <v>40</v>
      </c>
      <c r="N372" s="42" t="s">
        <v>40</v>
      </c>
      <c r="O372" s="42" t="s">
        <v>40</v>
      </c>
      <c r="P372" s="16"/>
    </row>
    <row r="373" spans="2:16" ht="15" customHeight="1" x14ac:dyDescent="0.15">
      <c r="B373" s="31" t="s">
        <v>1703</v>
      </c>
      <c r="C373" s="1">
        <v>75</v>
      </c>
      <c r="D373" s="42">
        <v>15</v>
      </c>
      <c r="E373" s="42" t="s">
        <v>566</v>
      </c>
      <c r="F373" s="42" t="s">
        <v>567</v>
      </c>
      <c r="G373" s="42" t="s">
        <v>1707</v>
      </c>
      <c r="H373" s="42" t="s">
        <v>40</v>
      </c>
      <c r="I373" s="42" t="s">
        <v>1708</v>
      </c>
      <c r="J373" s="42" t="s">
        <v>40</v>
      </c>
      <c r="K373" s="42" t="s">
        <v>40</v>
      </c>
      <c r="L373" s="42" t="s">
        <v>40</v>
      </c>
      <c r="M373" s="42" t="s">
        <v>40</v>
      </c>
      <c r="N373" s="42">
        <v>25</v>
      </c>
      <c r="O373" s="42">
        <v>52</v>
      </c>
      <c r="P373" s="16"/>
    </row>
    <row r="374" spans="2:16" ht="15" customHeight="1" x14ac:dyDescent="0.15">
      <c r="B374" s="31" t="s">
        <v>1704</v>
      </c>
      <c r="C374" s="1">
        <v>95</v>
      </c>
      <c r="D374" s="42">
        <v>16</v>
      </c>
      <c r="E374" s="42" t="s">
        <v>1709</v>
      </c>
      <c r="F374" s="42" t="s">
        <v>571</v>
      </c>
      <c r="G374" s="42" t="s">
        <v>1710</v>
      </c>
      <c r="H374" s="42" t="s">
        <v>40</v>
      </c>
      <c r="I374" s="42" t="s">
        <v>1711</v>
      </c>
      <c r="J374" s="42" t="s">
        <v>40</v>
      </c>
      <c r="K374" s="42" t="s">
        <v>40</v>
      </c>
      <c r="L374" s="42" t="s">
        <v>40</v>
      </c>
      <c r="M374" s="42" t="s">
        <v>40</v>
      </c>
      <c r="N374" s="42">
        <v>25</v>
      </c>
      <c r="O374" s="42">
        <v>53</v>
      </c>
      <c r="P374" s="16"/>
    </row>
    <row r="375" spans="2:16" ht="15" customHeight="1" x14ac:dyDescent="0.15">
      <c r="B375" s="31" t="s">
        <v>40</v>
      </c>
      <c r="C375" s="42" t="s">
        <v>40</v>
      </c>
      <c r="D375" s="42" t="s">
        <v>40</v>
      </c>
      <c r="E375" s="42" t="s">
        <v>40</v>
      </c>
      <c r="F375" s="42" t="s">
        <v>40</v>
      </c>
      <c r="G375" s="42" t="s">
        <v>40</v>
      </c>
      <c r="H375" s="42" t="s">
        <v>40</v>
      </c>
      <c r="I375" s="42" t="s">
        <v>40</v>
      </c>
      <c r="J375" s="42" t="s">
        <v>40</v>
      </c>
      <c r="K375" s="42" t="s">
        <v>40</v>
      </c>
      <c r="L375" s="42" t="s">
        <v>40</v>
      </c>
      <c r="M375" s="42" t="s">
        <v>40</v>
      </c>
      <c r="N375" s="42" t="s">
        <v>40</v>
      </c>
      <c r="O375" s="42"/>
      <c r="P375" s="16"/>
    </row>
    <row r="376" spans="2:16" ht="15" customHeight="1" x14ac:dyDescent="0.15">
      <c r="B376" s="31" t="s">
        <v>148</v>
      </c>
      <c r="C376" s="1"/>
      <c r="D376" s="1" t="s">
        <v>40</v>
      </c>
      <c r="E376" s="1" t="s">
        <v>577</v>
      </c>
      <c r="F376" s="1" t="s">
        <v>578</v>
      </c>
      <c r="G376" s="1" t="s">
        <v>40</v>
      </c>
      <c r="H376" s="1" t="s">
        <v>579</v>
      </c>
      <c r="I376" s="1" t="s">
        <v>40</v>
      </c>
      <c r="J376" s="1" t="s">
        <v>40</v>
      </c>
      <c r="K376" s="1" t="s">
        <v>40</v>
      </c>
      <c r="L376" s="1" t="s">
        <v>40</v>
      </c>
      <c r="M376" s="1" t="s">
        <v>40</v>
      </c>
      <c r="N376" s="1" t="s">
        <v>40</v>
      </c>
      <c r="O376" s="1"/>
      <c r="P376" s="16"/>
    </row>
    <row r="377" spans="2:16" ht="15" customHeight="1" x14ac:dyDescent="0.15">
      <c r="B377" s="31" t="s">
        <v>150</v>
      </c>
      <c r="C377" s="1"/>
      <c r="D377" s="1" t="s">
        <v>40</v>
      </c>
      <c r="E377" s="1" t="s">
        <v>580</v>
      </c>
      <c r="F377" s="1" t="s">
        <v>567</v>
      </c>
      <c r="G377" s="1" t="s">
        <v>40</v>
      </c>
      <c r="H377" s="1" t="s">
        <v>581</v>
      </c>
      <c r="I377" s="1" t="s">
        <v>40</v>
      </c>
      <c r="J377" s="1" t="s">
        <v>40</v>
      </c>
      <c r="K377" s="1" t="s">
        <v>40</v>
      </c>
      <c r="L377" s="1" t="s">
        <v>40</v>
      </c>
      <c r="M377" s="1" t="s">
        <v>40</v>
      </c>
      <c r="N377" s="1" t="s">
        <v>40</v>
      </c>
      <c r="O377" s="1"/>
      <c r="P377" s="16"/>
    </row>
    <row r="378" spans="2:16" ht="15" customHeight="1" x14ac:dyDescent="0.15">
      <c r="B378" s="31" t="s">
        <v>152</v>
      </c>
      <c r="C378" s="1"/>
      <c r="D378" s="1" t="s">
        <v>40</v>
      </c>
      <c r="E378" s="1" t="s">
        <v>582</v>
      </c>
      <c r="F378" s="1" t="s">
        <v>571</v>
      </c>
      <c r="G378" s="1" t="s">
        <v>40</v>
      </c>
      <c r="H378" s="1" t="s">
        <v>583</v>
      </c>
      <c r="I378" s="1" t="s">
        <v>40</v>
      </c>
      <c r="J378" s="1" t="s">
        <v>40</v>
      </c>
      <c r="K378" s="1" t="s">
        <v>40</v>
      </c>
      <c r="L378" s="1" t="s">
        <v>40</v>
      </c>
      <c r="M378" s="1" t="s">
        <v>40</v>
      </c>
      <c r="N378" s="1" t="s">
        <v>40</v>
      </c>
      <c r="O378" s="1"/>
      <c r="P378" s="16"/>
    </row>
    <row r="379" spans="2:16" ht="15" customHeight="1" x14ac:dyDescent="0.15">
      <c r="B379" s="31" t="s">
        <v>154</v>
      </c>
      <c r="C379" s="1"/>
      <c r="D379" s="1" t="s">
        <v>40</v>
      </c>
      <c r="E379" s="1" t="s">
        <v>584</v>
      </c>
      <c r="F379" s="1" t="s">
        <v>585</v>
      </c>
      <c r="G379" s="1" t="s">
        <v>40</v>
      </c>
      <c r="H379" s="1" t="s">
        <v>586</v>
      </c>
      <c r="I379" s="1" t="s">
        <v>40</v>
      </c>
      <c r="J379" s="1" t="s">
        <v>40</v>
      </c>
      <c r="K379" s="1" t="s">
        <v>40</v>
      </c>
      <c r="L379" s="1" t="s">
        <v>40</v>
      </c>
      <c r="M379" s="1" t="s">
        <v>40</v>
      </c>
      <c r="N379" s="1" t="s">
        <v>40</v>
      </c>
      <c r="O379" s="1"/>
      <c r="P379" s="16"/>
    </row>
    <row r="380" spans="2:16" ht="15" customHeight="1" x14ac:dyDescent="0.15">
      <c r="B380" s="31" t="s">
        <v>156</v>
      </c>
      <c r="C380" s="1"/>
      <c r="D380" s="1" t="s">
        <v>40</v>
      </c>
      <c r="E380" s="1" t="s">
        <v>587</v>
      </c>
      <c r="F380" s="1" t="s">
        <v>573</v>
      </c>
      <c r="G380" s="1" t="s">
        <v>40</v>
      </c>
      <c r="H380" s="1" t="s">
        <v>574</v>
      </c>
      <c r="I380" s="1" t="s">
        <v>40</v>
      </c>
      <c r="J380" s="1" t="s">
        <v>40</v>
      </c>
      <c r="K380" s="1" t="s">
        <v>40</v>
      </c>
      <c r="L380" s="1" t="s">
        <v>40</v>
      </c>
      <c r="M380" s="1" t="s">
        <v>40</v>
      </c>
      <c r="N380" s="1" t="s">
        <v>40</v>
      </c>
      <c r="O380" s="1"/>
      <c r="P380" s="16"/>
    </row>
    <row r="381" spans="2:16" ht="15" customHeight="1" x14ac:dyDescent="0.15">
      <c r="B381" s="31" t="s">
        <v>158</v>
      </c>
      <c r="C381" s="1"/>
      <c r="D381" s="1" t="s">
        <v>40</v>
      </c>
      <c r="E381" s="1" t="s">
        <v>587</v>
      </c>
      <c r="F381" s="1" t="s">
        <v>573</v>
      </c>
      <c r="G381" s="1" t="s">
        <v>40</v>
      </c>
      <c r="H381" s="1" t="s">
        <v>574</v>
      </c>
      <c r="I381" s="1" t="s">
        <v>40</v>
      </c>
      <c r="J381" s="1" t="s">
        <v>40</v>
      </c>
      <c r="K381" s="1" t="s">
        <v>40</v>
      </c>
      <c r="L381" s="1" t="s">
        <v>40</v>
      </c>
      <c r="M381" s="1" t="s">
        <v>40</v>
      </c>
      <c r="N381" s="1" t="s">
        <v>40</v>
      </c>
      <c r="O381" s="1"/>
      <c r="P381" s="16"/>
    </row>
    <row r="382" spans="2:16" ht="15" customHeight="1" x14ac:dyDescent="0.15">
      <c r="B382" s="48" t="s">
        <v>40</v>
      </c>
      <c r="C382" s="17">
        <v>2</v>
      </c>
      <c r="D382" s="17">
        <v>3</v>
      </c>
      <c r="E382" s="17">
        <v>4</v>
      </c>
      <c r="F382" s="17">
        <v>5</v>
      </c>
      <c r="G382" s="17">
        <v>6</v>
      </c>
      <c r="H382" s="17">
        <v>7</v>
      </c>
      <c r="I382" s="17">
        <v>8</v>
      </c>
      <c r="J382" s="17">
        <v>9</v>
      </c>
      <c r="K382" s="17">
        <v>10</v>
      </c>
      <c r="L382" s="17">
        <v>11</v>
      </c>
      <c r="M382" s="17">
        <v>12</v>
      </c>
      <c r="N382" s="17">
        <v>13</v>
      </c>
      <c r="O382" s="17"/>
      <c r="P382" s="16"/>
    </row>
    <row r="387" spans="1:13" ht="15" customHeight="1" x14ac:dyDescent="0.15">
      <c r="A387" s="44" t="s">
        <v>598</v>
      </c>
      <c r="C387" s="1" t="s">
        <v>160</v>
      </c>
      <c r="D387" s="1" t="s">
        <v>161</v>
      </c>
      <c r="E387" s="1" t="s">
        <v>162</v>
      </c>
      <c r="F387" s="1" t="s">
        <v>163</v>
      </c>
      <c r="G387" s="1" t="s">
        <v>164</v>
      </c>
      <c r="H387" s="1" t="s">
        <v>253</v>
      </c>
      <c r="I387" s="1" t="s">
        <v>254</v>
      </c>
      <c r="J387" s="1" t="s">
        <v>255</v>
      </c>
      <c r="K387" s="1" t="s">
        <v>256</v>
      </c>
      <c r="L387" s="42" t="s">
        <v>257</v>
      </c>
    </row>
    <row r="388" spans="1:13" ht="15" customHeight="1" x14ac:dyDescent="0.15">
      <c r="B388" s="2" t="s">
        <v>80</v>
      </c>
      <c r="C388" s="1" t="s">
        <v>592</v>
      </c>
      <c r="D388" s="1" t="s">
        <v>592</v>
      </c>
      <c r="E388" s="1" t="s">
        <v>592</v>
      </c>
      <c r="F388" s="1"/>
      <c r="G388" s="1"/>
      <c r="H388" s="1" t="s">
        <v>592</v>
      </c>
      <c r="I388" s="1" t="s">
        <v>592</v>
      </c>
      <c r="J388" s="1" t="s">
        <v>592</v>
      </c>
      <c r="K388" s="1"/>
      <c r="L388" s="1"/>
      <c r="M388" s="16"/>
    </row>
    <row r="389" spans="1:13" ht="15" customHeight="1" x14ac:dyDescent="0.15">
      <c r="B389" s="2" t="s">
        <v>81</v>
      </c>
      <c r="C389" s="1" t="s">
        <v>592</v>
      </c>
      <c r="D389" s="1" t="s">
        <v>592</v>
      </c>
      <c r="E389" s="1" t="s">
        <v>592</v>
      </c>
      <c r="F389" s="1"/>
      <c r="G389" s="1"/>
      <c r="H389" s="1" t="s">
        <v>592</v>
      </c>
      <c r="I389" s="1" t="s">
        <v>592</v>
      </c>
      <c r="J389" s="1" t="s">
        <v>592</v>
      </c>
      <c r="K389" s="1"/>
      <c r="L389" s="1"/>
      <c r="M389" s="16"/>
    </row>
    <row r="390" spans="1:13" ht="15" customHeight="1" x14ac:dyDescent="0.15">
      <c r="B390" s="2" t="s">
        <v>82</v>
      </c>
      <c r="C390" s="1" t="s">
        <v>592</v>
      </c>
      <c r="D390" s="1" t="s">
        <v>592</v>
      </c>
      <c r="E390" s="1" t="s">
        <v>592</v>
      </c>
      <c r="F390" s="1"/>
      <c r="G390" s="1"/>
      <c r="H390" s="1" t="s">
        <v>592</v>
      </c>
      <c r="I390" s="1" t="s">
        <v>592</v>
      </c>
      <c r="J390" s="1" t="s">
        <v>592</v>
      </c>
      <c r="K390" s="1"/>
      <c r="L390" s="1"/>
      <c r="M390" s="16"/>
    </row>
    <row r="391" spans="1:13" ht="15" customHeight="1" x14ac:dyDescent="0.15">
      <c r="B391" s="2" t="s">
        <v>83</v>
      </c>
      <c r="C391" s="1" t="s">
        <v>592</v>
      </c>
      <c r="D391" s="1" t="s">
        <v>592</v>
      </c>
      <c r="E391" s="1" t="s">
        <v>592</v>
      </c>
      <c r="F391" s="1" t="s">
        <v>593</v>
      </c>
      <c r="G391" s="1"/>
      <c r="H391" s="1" t="s">
        <v>592</v>
      </c>
      <c r="I391" s="1" t="s">
        <v>592</v>
      </c>
      <c r="J391" s="1" t="s">
        <v>592</v>
      </c>
      <c r="K391" s="1" t="s">
        <v>593</v>
      </c>
      <c r="L391" s="1"/>
      <c r="M391" s="16"/>
    </row>
    <row r="392" spans="1:13" ht="15" customHeight="1" x14ac:dyDescent="0.15">
      <c r="B392" s="2" t="s">
        <v>84</v>
      </c>
      <c r="D392" s="1" t="s">
        <v>592</v>
      </c>
      <c r="E392" s="1" t="s">
        <v>592</v>
      </c>
      <c r="F392" s="1" t="s">
        <v>593</v>
      </c>
      <c r="G392" s="1"/>
      <c r="H392" s="1"/>
      <c r="I392" s="1" t="s">
        <v>592</v>
      </c>
      <c r="J392" s="1" t="s">
        <v>592</v>
      </c>
      <c r="K392" s="1" t="s">
        <v>593</v>
      </c>
      <c r="L392" s="1"/>
      <c r="M392" s="16"/>
    </row>
    <row r="393" spans="1:13" ht="15" customHeight="1" x14ac:dyDescent="0.15">
      <c r="B393" s="2" t="s">
        <v>85</v>
      </c>
      <c r="D393" s="1" t="s">
        <v>592</v>
      </c>
      <c r="E393" s="1" t="s">
        <v>592</v>
      </c>
      <c r="F393" s="1" t="s">
        <v>593</v>
      </c>
      <c r="G393" s="1"/>
      <c r="H393" s="1"/>
      <c r="I393" s="1" t="s">
        <v>592</v>
      </c>
      <c r="J393" s="1" t="s">
        <v>592</v>
      </c>
      <c r="K393" s="1" t="s">
        <v>593</v>
      </c>
      <c r="L393" s="1"/>
      <c r="M393" s="16"/>
    </row>
    <row r="394" spans="1:13" ht="15" customHeight="1" x14ac:dyDescent="0.15">
      <c r="B394" s="2" t="s">
        <v>86</v>
      </c>
      <c r="D394" s="1" t="s">
        <v>594</v>
      </c>
      <c r="E394" s="1" t="s">
        <v>594</v>
      </c>
      <c r="F394" s="1" t="e">
        <f>IF(config="A","09.40","13.40")</f>
        <v>#NAME?</v>
      </c>
      <c r="G394" s="1"/>
      <c r="H394" s="1"/>
      <c r="I394" s="1" t="s">
        <v>594</v>
      </c>
      <c r="J394" s="1" t="s">
        <v>594</v>
      </c>
      <c r="K394" s="1" t="e">
        <f>IF(config="A","09.40","13.40")</f>
        <v>#NAME?</v>
      </c>
      <c r="L394" s="1"/>
      <c r="M394" s="16"/>
    </row>
    <row r="395" spans="1:13" ht="15" customHeight="1" x14ac:dyDescent="0.15">
      <c r="B395" s="2" t="s">
        <v>87</v>
      </c>
      <c r="D395" s="1" t="s">
        <v>594</v>
      </c>
      <c r="E395" s="1" t="s">
        <v>594</v>
      </c>
      <c r="F395" s="1" t="s">
        <v>595</v>
      </c>
      <c r="G395" s="1" t="s">
        <v>595</v>
      </c>
      <c r="H395" s="1"/>
      <c r="I395" s="1" t="s">
        <v>594</v>
      </c>
      <c r="J395" s="1" t="s">
        <v>594</v>
      </c>
      <c r="K395" s="1" t="s">
        <v>595</v>
      </c>
      <c r="L395" s="1" t="s">
        <v>595</v>
      </c>
      <c r="M395" s="16"/>
    </row>
    <row r="396" spans="1:13" ht="15" customHeight="1" x14ac:dyDescent="0.15">
      <c r="B396" s="2" t="s">
        <v>88</v>
      </c>
      <c r="D396" s="1" t="s">
        <v>594</v>
      </c>
      <c r="E396" s="1" t="s">
        <v>594</v>
      </c>
      <c r="F396" s="1" t="s">
        <v>595</v>
      </c>
      <c r="G396" s="1" t="s">
        <v>596</v>
      </c>
      <c r="H396" s="1"/>
      <c r="I396" s="1" t="s">
        <v>594</v>
      </c>
      <c r="J396" s="1" t="s">
        <v>594</v>
      </c>
      <c r="K396" s="1" t="s">
        <v>595</v>
      </c>
      <c r="L396" s="1" t="s">
        <v>596</v>
      </c>
      <c r="M396" s="16"/>
    </row>
    <row r="397" spans="1:13" ht="15" customHeight="1" x14ac:dyDescent="0.15">
      <c r="B397" s="2" t="s">
        <v>89</v>
      </c>
      <c r="D397" s="1"/>
      <c r="E397" s="1" t="s">
        <v>597</v>
      </c>
      <c r="F397" s="1" t="s">
        <v>596</v>
      </c>
      <c r="G397" s="1" t="s">
        <v>595</v>
      </c>
      <c r="H397" s="1"/>
      <c r="I397" s="1"/>
      <c r="J397" s="1" t="s">
        <v>597</v>
      </c>
      <c r="K397" s="1" t="s">
        <v>596</v>
      </c>
      <c r="L397" s="1" t="s">
        <v>595</v>
      </c>
      <c r="M397" s="16"/>
    </row>
    <row r="398" spans="1:13" ht="15" customHeight="1" x14ac:dyDescent="0.15">
      <c r="B398" s="2" t="s">
        <v>90</v>
      </c>
      <c r="D398" s="1"/>
      <c r="E398" s="1" t="s">
        <v>597</v>
      </c>
      <c r="F398" s="1" t="s">
        <v>596</v>
      </c>
      <c r="G398" s="1" t="s">
        <v>595</v>
      </c>
      <c r="H398" s="1"/>
      <c r="I398" s="1"/>
      <c r="J398" s="1" t="s">
        <v>597</v>
      </c>
      <c r="K398" s="1" t="s">
        <v>596</v>
      </c>
      <c r="L398" s="1" t="s">
        <v>595</v>
      </c>
      <c r="M398" s="16"/>
    </row>
    <row r="399" spans="1:13" ht="15" customHeight="1" x14ac:dyDescent="0.15">
      <c r="B399" s="17">
        <v>1</v>
      </c>
      <c r="C399" s="17">
        <v>2</v>
      </c>
      <c r="D399" s="17">
        <v>3</v>
      </c>
      <c r="E399" s="17">
        <v>4</v>
      </c>
      <c r="F399" s="17">
        <v>5</v>
      </c>
      <c r="G399" s="17">
        <v>6</v>
      </c>
      <c r="H399" s="17">
        <v>7</v>
      </c>
      <c r="I399" s="17">
        <v>8</v>
      </c>
      <c r="J399" s="17">
        <v>9</v>
      </c>
      <c r="K399" s="17">
        <v>10</v>
      </c>
      <c r="L399" s="17">
        <v>11</v>
      </c>
      <c r="M399" s="16"/>
    </row>
    <row r="404" spans="1:16" ht="15" customHeight="1" x14ac:dyDescent="0.15">
      <c r="A404" s="44" t="s">
        <v>605</v>
      </c>
      <c r="B404" s="1" t="s">
        <v>46</v>
      </c>
      <c r="C404" s="1" t="s">
        <v>599</v>
      </c>
      <c r="D404" s="1" t="s">
        <v>295</v>
      </c>
      <c r="E404" s="1" t="s">
        <v>600</v>
      </c>
    </row>
    <row r="405" spans="1:16" ht="15" customHeight="1" x14ac:dyDescent="0.15">
      <c r="B405" s="68" t="s">
        <v>1260</v>
      </c>
      <c r="C405" s="1" t="s">
        <v>40</v>
      </c>
      <c r="D405" s="1" t="s">
        <v>601</v>
      </c>
      <c r="E405" s="1" t="s">
        <v>602</v>
      </c>
      <c r="F405" s="16"/>
    </row>
    <row r="406" spans="1:16" ht="15" customHeight="1" x14ac:dyDescent="0.15">
      <c r="B406" s="68" t="s">
        <v>1261</v>
      </c>
      <c r="C406" s="1" t="s">
        <v>40</v>
      </c>
      <c r="D406" s="1" t="s">
        <v>603</v>
      </c>
      <c r="E406" s="1" t="s">
        <v>604</v>
      </c>
      <c r="F406" s="16"/>
    </row>
    <row r="407" spans="1:16" ht="15" customHeight="1" x14ac:dyDescent="0.15">
      <c r="B407" s="17">
        <v>1</v>
      </c>
      <c r="C407" s="17">
        <v>2</v>
      </c>
      <c r="D407" s="17">
        <v>3</v>
      </c>
      <c r="E407" s="17">
        <v>4</v>
      </c>
      <c r="F407" s="16"/>
    </row>
    <row r="409" spans="1:16" ht="15" customHeight="1" x14ac:dyDescent="0.15">
      <c r="C409" s="279" t="s">
        <v>1565</v>
      </c>
      <c r="D409" s="279"/>
      <c r="E409" s="279"/>
      <c r="F409" s="279"/>
      <c r="G409" s="279"/>
      <c r="H409" s="279"/>
      <c r="I409" s="279"/>
      <c r="J409" s="279"/>
    </row>
    <row r="410" spans="1:16" ht="15" customHeight="1" x14ac:dyDescent="0.15">
      <c r="A410" s="44" t="s">
        <v>1225</v>
      </c>
      <c r="B410" s="1" t="s">
        <v>1226</v>
      </c>
      <c r="C410" s="1" t="s">
        <v>814</v>
      </c>
      <c r="D410" s="1" t="s">
        <v>815</v>
      </c>
      <c r="E410" s="1" t="s">
        <v>816</v>
      </c>
      <c r="F410" s="1" t="s">
        <v>817</v>
      </c>
      <c r="G410" s="1" t="s">
        <v>818</v>
      </c>
      <c r="H410" s="1" t="s">
        <v>811</v>
      </c>
      <c r="I410" s="1" t="s">
        <v>812</v>
      </c>
      <c r="J410" s="1" t="s">
        <v>813</v>
      </c>
      <c r="K410" s="1" t="s">
        <v>288</v>
      </c>
      <c r="L410" s="1" t="s">
        <v>290</v>
      </c>
      <c r="M410" s="1" t="s">
        <v>101</v>
      </c>
    </row>
    <row r="411" spans="1:16" ht="15" customHeight="1" x14ac:dyDescent="0.15">
      <c r="B411" s="1">
        <v>115</v>
      </c>
      <c r="C411" s="1">
        <v>140</v>
      </c>
      <c r="D411" s="1">
        <v>140</v>
      </c>
      <c r="E411" s="1">
        <v>140</v>
      </c>
      <c r="F411" s="1">
        <v>140</v>
      </c>
      <c r="G411" s="1">
        <v>140</v>
      </c>
      <c r="H411" s="1">
        <v>140</v>
      </c>
      <c r="I411" s="1">
        <v>140</v>
      </c>
      <c r="J411" s="1">
        <v>140</v>
      </c>
      <c r="K411" s="1" t="s">
        <v>1227</v>
      </c>
      <c r="L411" s="1" t="s">
        <v>579</v>
      </c>
      <c r="M411" s="1">
        <v>8</v>
      </c>
      <c r="N411" s="17"/>
      <c r="P411" s="1" t="s">
        <v>1228</v>
      </c>
    </row>
    <row r="412" spans="1:16" ht="15" customHeight="1" x14ac:dyDescent="0.15">
      <c r="B412" s="1">
        <v>125</v>
      </c>
      <c r="C412" s="1">
        <v>140</v>
      </c>
      <c r="D412" s="1">
        <v>140</v>
      </c>
      <c r="E412" s="1">
        <v>140</v>
      </c>
      <c r="F412" s="1">
        <v>140</v>
      </c>
      <c r="G412" s="1">
        <v>140</v>
      </c>
      <c r="H412" s="1">
        <v>150</v>
      </c>
      <c r="I412" s="1">
        <v>150</v>
      </c>
      <c r="J412" s="1">
        <v>150</v>
      </c>
      <c r="K412" s="1" t="s">
        <v>1227</v>
      </c>
      <c r="L412" s="1" t="s">
        <v>579</v>
      </c>
      <c r="M412" s="1">
        <v>8</v>
      </c>
      <c r="N412" s="17"/>
      <c r="P412" s="1" t="s">
        <v>1228</v>
      </c>
    </row>
    <row r="413" spans="1:16" ht="15" customHeight="1" x14ac:dyDescent="0.15">
      <c r="B413" s="1">
        <v>135</v>
      </c>
      <c r="C413" s="1">
        <v>150</v>
      </c>
      <c r="D413" s="1">
        <v>150</v>
      </c>
      <c r="E413" s="1">
        <v>150</v>
      </c>
      <c r="F413" s="1">
        <v>150</v>
      </c>
      <c r="G413" s="1">
        <v>150</v>
      </c>
      <c r="H413" s="1">
        <v>160</v>
      </c>
      <c r="I413" s="1">
        <v>160</v>
      </c>
      <c r="J413" s="1">
        <v>160</v>
      </c>
      <c r="K413" s="1" t="s">
        <v>1227</v>
      </c>
      <c r="L413" s="1" t="s">
        <v>579</v>
      </c>
      <c r="M413" s="1">
        <v>8</v>
      </c>
      <c r="N413" s="17"/>
      <c r="P413" s="1" t="s">
        <v>1229</v>
      </c>
    </row>
    <row r="414" spans="1:16" ht="15" customHeight="1" x14ac:dyDescent="0.15">
      <c r="B414" s="1">
        <v>150</v>
      </c>
      <c r="C414" s="1">
        <v>0</v>
      </c>
      <c r="D414" s="1">
        <v>0</v>
      </c>
      <c r="E414" s="1">
        <v>0</v>
      </c>
      <c r="F414" s="1">
        <v>0</v>
      </c>
      <c r="G414" s="1">
        <v>0</v>
      </c>
      <c r="H414" s="1">
        <v>140</v>
      </c>
      <c r="I414" s="1">
        <v>140</v>
      </c>
      <c r="J414" s="1">
        <v>140</v>
      </c>
      <c r="K414" s="1" t="s">
        <v>1227</v>
      </c>
      <c r="L414" s="1" t="s">
        <v>579</v>
      </c>
      <c r="M414" s="1">
        <v>12</v>
      </c>
      <c r="N414" s="17"/>
      <c r="P414" s="1" t="s">
        <v>1228</v>
      </c>
    </row>
    <row r="415" spans="1:16" ht="15" customHeight="1" x14ac:dyDescent="0.15">
      <c r="B415" s="1" t="s">
        <v>40</v>
      </c>
      <c r="C415" s="1" t="s">
        <v>40</v>
      </c>
      <c r="D415" s="1"/>
      <c r="E415" s="1"/>
      <c r="F415" s="1"/>
      <c r="G415" s="1"/>
      <c r="H415" s="1"/>
      <c r="I415" s="1"/>
      <c r="J415" s="1"/>
      <c r="K415" s="1" t="s">
        <v>40</v>
      </c>
      <c r="L415" s="1" t="s">
        <v>40</v>
      </c>
      <c r="M415" s="1" t="s">
        <v>40</v>
      </c>
      <c r="N415" s="17"/>
    </row>
    <row r="416" spans="1:16" ht="15" customHeight="1" x14ac:dyDescent="0.15">
      <c r="B416" s="17"/>
      <c r="C416" s="17">
        <v>2</v>
      </c>
      <c r="D416" s="17">
        <v>3</v>
      </c>
      <c r="E416" s="17">
        <v>4</v>
      </c>
      <c r="F416" s="17">
        <v>5</v>
      </c>
      <c r="G416" s="17">
        <v>6</v>
      </c>
      <c r="H416" s="17">
        <v>7</v>
      </c>
      <c r="I416" s="17">
        <v>8</v>
      </c>
      <c r="J416" s="17">
        <v>9</v>
      </c>
      <c r="K416" s="17">
        <v>10</v>
      </c>
      <c r="L416" s="17">
        <v>11</v>
      </c>
      <c r="M416" s="17">
        <v>12</v>
      </c>
      <c r="N416" s="17"/>
    </row>
    <row r="423" spans="1:8" ht="15" customHeight="1" x14ac:dyDescent="0.15">
      <c r="A423" s="40" t="s">
        <v>624</v>
      </c>
      <c r="C423" s="1" t="s">
        <v>625</v>
      </c>
      <c r="D423" s="1" t="s">
        <v>626</v>
      </c>
      <c r="E423" s="1" t="s">
        <v>287</v>
      </c>
      <c r="F423" s="1" t="s">
        <v>288</v>
      </c>
      <c r="G423" s="1" t="s">
        <v>290</v>
      </c>
    </row>
    <row r="424" spans="1:8" ht="15" customHeight="1" x14ac:dyDescent="0.15">
      <c r="B424" s="29" t="s">
        <v>80</v>
      </c>
      <c r="C424" s="57">
        <v>70</v>
      </c>
      <c r="D424" s="57">
        <v>27</v>
      </c>
      <c r="E424" s="57" t="s">
        <v>580</v>
      </c>
      <c r="F424" s="57" t="s">
        <v>567</v>
      </c>
      <c r="G424" s="57" t="s">
        <v>581</v>
      </c>
      <c r="H424" s="16"/>
    </row>
    <row r="425" spans="1:8" ht="15" customHeight="1" x14ac:dyDescent="0.15">
      <c r="B425" s="29" t="s">
        <v>81</v>
      </c>
      <c r="C425" s="57">
        <v>80</v>
      </c>
      <c r="D425" s="57">
        <v>22</v>
      </c>
      <c r="E425" s="57" t="s">
        <v>580</v>
      </c>
      <c r="F425" s="57" t="s">
        <v>567</v>
      </c>
      <c r="G425" s="57" t="s">
        <v>581</v>
      </c>
      <c r="H425" s="16"/>
    </row>
    <row r="426" spans="1:8" ht="15" customHeight="1" x14ac:dyDescent="0.15">
      <c r="B426" s="29" t="s">
        <v>82</v>
      </c>
      <c r="C426" s="57">
        <v>80</v>
      </c>
      <c r="D426" s="57">
        <v>22</v>
      </c>
      <c r="E426" s="57" t="s">
        <v>580</v>
      </c>
      <c r="F426" s="57" t="s">
        <v>567</v>
      </c>
      <c r="G426" s="57" t="s">
        <v>581</v>
      </c>
      <c r="H426" s="16"/>
    </row>
    <row r="427" spans="1:8" ht="15" customHeight="1" x14ac:dyDescent="0.15">
      <c r="B427" s="29" t="s">
        <v>83</v>
      </c>
      <c r="C427" s="57">
        <v>90</v>
      </c>
      <c r="D427" s="57">
        <v>23</v>
      </c>
      <c r="E427" s="57" t="s">
        <v>582</v>
      </c>
      <c r="F427" s="57" t="s">
        <v>571</v>
      </c>
      <c r="G427" s="57" t="s">
        <v>583</v>
      </c>
      <c r="H427" s="16"/>
    </row>
    <row r="428" spans="1:8" ht="15" customHeight="1" x14ac:dyDescent="0.15">
      <c r="B428" s="29" t="s">
        <v>84</v>
      </c>
      <c r="C428" s="57">
        <v>90</v>
      </c>
      <c r="D428" s="57">
        <v>23</v>
      </c>
      <c r="E428" s="57" t="s">
        <v>582</v>
      </c>
      <c r="F428" s="57" t="s">
        <v>571</v>
      </c>
      <c r="G428" s="57" t="s">
        <v>583</v>
      </c>
      <c r="H428" s="16"/>
    </row>
    <row r="429" spans="1:8" ht="15" customHeight="1" x14ac:dyDescent="0.15">
      <c r="B429" s="29" t="s">
        <v>85</v>
      </c>
      <c r="C429" s="57">
        <v>90</v>
      </c>
      <c r="D429" s="57">
        <v>23</v>
      </c>
      <c r="E429" s="57" t="s">
        <v>582</v>
      </c>
      <c r="F429" s="57" t="s">
        <v>571</v>
      </c>
      <c r="G429" s="57" t="s">
        <v>583</v>
      </c>
      <c r="H429" s="16"/>
    </row>
    <row r="430" spans="1:8" ht="15" customHeight="1" x14ac:dyDescent="0.15">
      <c r="B430" s="29" t="s">
        <v>86</v>
      </c>
      <c r="C430" s="57">
        <v>100</v>
      </c>
      <c r="D430" s="57">
        <v>25</v>
      </c>
      <c r="E430" s="57" t="s">
        <v>582</v>
      </c>
      <c r="F430" s="57" t="s">
        <v>571</v>
      </c>
      <c r="G430" s="57" t="s">
        <v>583</v>
      </c>
      <c r="H430" s="16"/>
    </row>
    <row r="431" spans="1:8" ht="15" customHeight="1" x14ac:dyDescent="0.15">
      <c r="B431" s="29" t="s">
        <v>87</v>
      </c>
      <c r="C431" s="57">
        <v>110</v>
      </c>
      <c r="D431" s="57">
        <v>20</v>
      </c>
      <c r="E431" s="57" t="s">
        <v>582</v>
      </c>
      <c r="F431" s="57" t="s">
        <v>571</v>
      </c>
      <c r="G431" s="57" t="s">
        <v>583</v>
      </c>
      <c r="H431" s="16"/>
    </row>
    <row r="432" spans="1:8" ht="15" customHeight="1" x14ac:dyDescent="0.15">
      <c r="B432" s="29" t="s">
        <v>88</v>
      </c>
      <c r="C432" s="57">
        <v>110</v>
      </c>
      <c r="D432" s="57">
        <v>30</v>
      </c>
      <c r="E432" s="57" t="s">
        <v>584</v>
      </c>
      <c r="F432" s="57" t="s">
        <v>571</v>
      </c>
      <c r="G432" s="57" t="s">
        <v>583</v>
      </c>
      <c r="H432" s="16"/>
    </row>
    <row r="433" spans="1:8" ht="15" customHeight="1" x14ac:dyDescent="0.15">
      <c r="B433" s="29" t="s">
        <v>89</v>
      </c>
      <c r="C433" s="57">
        <v>135</v>
      </c>
      <c r="D433" s="57">
        <v>35</v>
      </c>
      <c r="E433" s="57" t="s">
        <v>627</v>
      </c>
      <c r="F433" s="57" t="s">
        <v>585</v>
      </c>
      <c r="G433" s="57" t="s">
        <v>40</v>
      </c>
      <c r="H433" s="16"/>
    </row>
    <row r="434" spans="1:8" ht="15" customHeight="1" x14ac:dyDescent="0.15">
      <c r="B434" s="29" t="s">
        <v>90</v>
      </c>
      <c r="C434" s="57">
        <v>135</v>
      </c>
      <c r="D434" s="57">
        <v>35</v>
      </c>
      <c r="E434" s="57" t="s">
        <v>627</v>
      </c>
      <c r="F434" s="57" t="s">
        <v>585</v>
      </c>
      <c r="G434" s="57" t="s">
        <v>40</v>
      </c>
      <c r="H434" s="16"/>
    </row>
    <row r="435" spans="1:8" ht="15" customHeight="1" x14ac:dyDescent="0.15">
      <c r="B435" s="17">
        <v>1</v>
      </c>
      <c r="C435" s="17">
        <v>2</v>
      </c>
      <c r="D435" s="17">
        <v>3</v>
      </c>
      <c r="E435" s="17">
        <v>4</v>
      </c>
      <c r="F435" s="17">
        <v>5</v>
      </c>
      <c r="G435" s="17">
        <v>6</v>
      </c>
      <c r="H435" s="16"/>
    </row>
    <row r="440" spans="1:8" ht="15" customHeight="1" x14ac:dyDescent="0.15">
      <c r="A440" s="40" t="s">
        <v>628</v>
      </c>
      <c r="C440" s="1" t="s">
        <v>625</v>
      </c>
      <c r="D440" s="1" t="s">
        <v>626</v>
      </c>
      <c r="E440" s="1" t="s">
        <v>287</v>
      </c>
      <c r="F440" s="1" t="s">
        <v>288</v>
      </c>
      <c r="G440" s="1" t="s">
        <v>290</v>
      </c>
    </row>
    <row r="441" spans="1:8" ht="15" customHeight="1" x14ac:dyDescent="0.15">
      <c r="B441" s="29" t="s">
        <v>80</v>
      </c>
      <c r="C441" s="57">
        <v>90</v>
      </c>
      <c r="D441" s="57">
        <v>10</v>
      </c>
      <c r="E441" s="57" t="s">
        <v>629</v>
      </c>
      <c r="F441" s="57" t="s">
        <v>571</v>
      </c>
      <c r="G441" s="57" t="s">
        <v>583</v>
      </c>
      <c r="H441" s="16"/>
    </row>
    <row r="442" spans="1:8" ht="15" customHeight="1" x14ac:dyDescent="0.15">
      <c r="B442" s="29" t="s">
        <v>81</v>
      </c>
      <c r="C442" s="57">
        <v>90</v>
      </c>
      <c r="D442" s="57">
        <v>10</v>
      </c>
      <c r="E442" s="57" t="s">
        <v>629</v>
      </c>
      <c r="F442" s="57" t="s">
        <v>571</v>
      </c>
      <c r="G442" s="57" t="s">
        <v>583</v>
      </c>
      <c r="H442" s="16"/>
    </row>
    <row r="443" spans="1:8" ht="15" customHeight="1" x14ac:dyDescent="0.15">
      <c r="B443" s="29" t="s">
        <v>82</v>
      </c>
      <c r="C443" s="57">
        <v>90</v>
      </c>
      <c r="D443" s="57">
        <v>10</v>
      </c>
      <c r="E443" s="57" t="s">
        <v>629</v>
      </c>
      <c r="F443" s="57" t="s">
        <v>571</v>
      </c>
      <c r="G443" s="57" t="s">
        <v>583</v>
      </c>
      <c r="H443" s="16"/>
    </row>
    <row r="444" spans="1:8" ht="15" customHeight="1" x14ac:dyDescent="0.15">
      <c r="B444" s="29" t="s">
        <v>83</v>
      </c>
      <c r="C444" s="57">
        <v>100</v>
      </c>
      <c r="D444" s="57">
        <v>10</v>
      </c>
      <c r="E444" s="57" t="s">
        <v>630</v>
      </c>
      <c r="F444" s="57" t="s">
        <v>571</v>
      </c>
      <c r="G444" s="57" t="s">
        <v>583</v>
      </c>
      <c r="H444" s="16"/>
    </row>
    <row r="445" spans="1:8" ht="15" customHeight="1" x14ac:dyDescent="0.15">
      <c r="B445" s="29" t="s">
        <v>84</v>
      </c>
      <c r="C445" s="57">
        <v>100</v>
      </c>
      <c r="D445" s="57">
        <v>10</v>
      </c>
      <c r="E445" s="57" t="s">
        <v>630</v>
      </c>
      <c r="F445" s="57" t="s">
        <v>571</v>
      </c>
      <c r="G445" s="57" t="s">
        <v>583</v>
      </c>
      <c r="H445" s="16"/>
    </row>
    <row r="446" spans="1:8" ht="15" customHeight="1" x14ac:dyDescent="0.15">
      <c r="B446" s="29" t="s">
        <v>85</v>
      </c>
      <c r="C446" s="57">
        <v>100</v>
      </c>
      <c r="D446" s="57">
        <v>10</v>
      </c>
      <c r="E446" s="57" t="s">
        <v>630</v>
      </c>
      <c r="F446" s="57" t="s">
        <v>571</v>
      </c>
      <c r="G446" s="57" t="s">
        <v>583</v>
      </c>
      <c r="H446" s="16"/>
    </row>
    <row r="447" spans="1:8" ht="15" customHeight="1" x14ac:dyDescent="0.15">
      <c r="B447" s="29" t="s">
        <v>86</v>
      </c>
      <c r="C447" s="57">
        <v>110</v>
      </c>
      <c r="D447" s="57">
        <v>10</v>
      </c>
      <c r="E447" s="57" t="s">
        <v>630</v>
      </c>
      <c r="F447" s="57" t="s">
        <v>571</v>
      </c>
      <c r="G447" s="57" t="s">
        <v>583</v>
      </c>
      <c r="H447" s="16"/>
    </row>
    <row r="448" spans="1:8" ht="15" customHeight="1" x14ac:dyDescent="0.15">
      <c r="B448" s="29" t="s">
        <v>87</v>
      </c>
      <c r="C448" s="57">
        <v>125</v>
      </c>
      <c r="D448" s="57">
        <v>10</v>
      </c>
      <c r="E448" s="57" t="s">
        <v>631</v>
      </c>
      <c r="F448" s="57" t="s">
        <v>585</v>
      </c>
      <c r="G448" s="57" t="s">
        <v>586</v>
      </c>
      <c r="H448" s="16"/>
    </row>
    <row r="449" spans="1:8" ht="15" customHeight="1" x14ac:dyDescent="0.15">
      <c r="B449" s="29" t="s">
        <v>88</v>
      </c>
      <c r="C449" s="57">
        <v>135</v>
      </c>
      <c r="D449" s="57">
        <v>10</v>
      </c>
      <c r="E449" s="57" t="s">
        <v>632</v>
      </c>
      <c r="F449" s="57" t="s">
        <v>585</v>
      </c>
      <c r="G449" s="57" t="s">
        <v>586</v>
      </c>
      <c r="H449" s="16"/>
    </row>
    <row r="450" spans="1:8" ht="15" customHeight="1" x14ac:dyDescent="0.15">
      <c r="B450" s="29" t="s">
        <v>89</v>
      </c>
      <c r="C450" s="57">
        <v>150</v>
      </c>
      <c r="D450" s="57">
        <v>25</v>
      </c>
      <c r="E450" s="57" t="s">
        <v>629</v>
      </c>
      <c r="F450" s="57" t="s">
        <v>571</v>
      </c>
      <c r="G450" s="57" t="s">
        <v>40</v>
      </c>
      <c r="H450" s="16"/>
    </row>
    <row r="451" spans="1:8" ht="15" customHeight="1" x14ac:dyDescent="0.15">
      <c r="B451" s="29" t="s">
        <v>90</v>
      </c>
      <c r="C451" s="57">
        <v>150</v>
      </c>
      <c r="D451" s="57">
        <v>25</v>
      </c>
      <c r="E451" s="57" t="s">
        <v>629</v>
      </c>
      <c r="F451" s="57" t="s">
        <v>571</v>
      </c>
      <c r="G451" s="57" t="s">
        <v>40</v>
      </c>
      <c r="H451" s="16"/>
    </row>
    <row r="452" spans="1:8" ht="15" customHeight="1" x14ac:dyDescent="0.15">
      <c r="B452" s="17">
        <v>1</v>
      </c>
      <c r="C452" s="17">
        <v>2</v>
      </c>
      <c r="D452" s="17">
        <v>3</v>
      </c>
      <c r="E452" s="17">
        <v>4</v>
      </c>
      <c r="F452" s="17">
        <v>5</v>
      </c>
      <c r="G452" s="17">
        <v>7</v>
      </c>
      <c r="H452" s="16"/>
    </row>
    <row r="457" spans="1:8" ht="15" customHeight="1" x14ac:dyDescent="0.15">
      <c r="A457" s="44" t="s">
        <v>796</v>
      </c>
    </row>
    <row r="460" spans="1:8" ht="15" customHeight="1" x14ac:dyDescent="0.15">
      <c r="B460" s="2" t="s">
        <v>7</v>
      </c>
      <c r="C460" s="1" t="s">
        <v>802</v>
      </c>
      <c r="D460" s="1" t="s">
        <v>803</v>
      </c>
    </row>
    <row r="461" spans="1:8" ht="15" customHeight="1" x14ac:dyDescent="0.15">
      <c r="B461" s="2" t="s">
        <v>801</v>
      </c>
      <c r="C461" s="1" t="s">
        <v>797</v>
      </c>
      <c r="D461" s="1" t="s">
        <v>800</v>
      </c>
      <c r="E461" s="16"/>
    </row>
    <row r="462" spans="1:8" ht="15" customHeight="1" x14ac:dyDescent="0.15">
      <c r="B462" s="2" t="s">
        <v>804</v>
      </c>
      <c r="C462" s="1" t="s">
        <v>798</v>
      </c>
      <c r="D462" s="1" t="s">
        <v>800</v>
      </c>
      <c r="E462" s="16"/>
    </row>
    <row r="463" spans="1:8" ht="15" customHeight="1" x14ac:dyDescent="0.15">
      <c r="B463" s="2" t="s">
        <v>805</v>
      </c>
      <c r="C463" s="1" t="s">
        <v>799</v>
      </c>
      <c r="D463" s="1" t="s">
        <v>40</v>
      </c>
      <c r="E463" s="16"/>
    </row>
    <row r="464" spans="1:8" ht="15" customHeight="1" x14ac:dyDescent="0.15">
      <c r="B464" s="16"/>
      <c r="C464" s="16"/>
      <c r="D464" s="16"/>
      <c r="E464" s="16"/>
    </row>
    <row r="471" spans="1:13" ht="15" customHeight="1" x14ac:dyDescent="0.15">
      <c r="A471" s="44" t="s">
        <v>1269</v>
      </c>
      <c r="B471" s="12">
        <v>1</v>
      </c>
      <c r="C471" s="12">
        <v>2</v>
      </c>
      <c r="D471" s="12">
        <v>3</v>
      </c>
      <c r="E471" s="12">
        <v>4</v>
      </c>
      <c r="F471" s="12">
        <v>5</v>
      </c>
      <c r="K471" s="44" t="s">
        <v>1295</v>
      </c>
    </row>
    <row r="472" spans="1:13" ht="15" customHeight="1" x14ac:dyDescent="0.15">
      <c r="B472" s="1" t="s">
        <v>1271</v>
      </c>
      <c r="C472" s="11" t="s">
        <v>814</v>
      </c>
      <c r="D472" s="11" t="s">
        <v>815</v>
      </c>
      <c r="E472" s="11" t="s">
        <v>816</v>
      </c>
      <c r="F472" s="1" t="s">
        <v>111</v>
      </c>
      <c r="G472" s="1" t="s">
        <v>101</v>
      </c>
      <c r="H472" s="278" t="s">
        <v>1272</v>
      </c>
      <c r="I472" s="278"/>
    </row>
    <row r="473" spans="1:13" ht="15" customHeight="1" x14ac:dyDescent="0.15">
      <c r="B473" s="38">
        <f t="shared" ref="B473:B486" si="11">IF(mod_base="24 STD",C473,IF(mod_base="30 STD",D473,IF(mod_base="40 STD",E473,0)))</f>
        <v>16</v>
      </c>
      <c r="C473" s="1">
        <f>IF(fondo="PE",16,16)</f>
        <v>16</v>
      </c>
      <c r="D473" s="1">
        <f>IF(fondo="PE",16,16)</f>
        <v>16</v>
      </c>
      <c r="E473" s="1">
        <f>IF(fondo="PE",16,16)</f>
        <v>16</v>
      </c>
      <c r="F473" s="2" t="s">
        <v>1285</v>
      </c>
      <c r="G473" s="1">
        <f t="shared" ref="G473:G486" si="12">B473*n_giunz</f>
        <v>272</v>
      </c>
      <c r="H473" s="79" t="s">
        <v>1273</v>
      </c>
      <c r="I473" s="79" t="s">
        <v>1273</v>
      </c>
      <c r="L473" s="2" t="s">
        <v>1285</v>
      </c>
      <c r="M473" s="2">
        <f>G473</f>
        <v>272</v>
      </c>
    </row>
    <row r="474" spans="1:13" ht="15" customHeight="1" x14ac:dyDescent="0.15">
      <c r="B474" s="38">
        <f t="shared" si="11"/>
        <v>11</v>
      </c>
      <c r="C474" s="1">
        <v>7</v>
      </c>
      <c r="D474" s="1">
        <v>8</v>
      </c>
      <c r="E474" s="1">
        <v>11</v>
      </c>
      <c r="F474" s="2" t="s">
        <v>1286</v>
      </c>
      <c r="G474" s="1">
        <f t="shared" si="12"/>
        <v>187</v>
      </c>
      <c r="H474" s="82" t="s">
        <v>1280</v>
      </c>
      <c r="I474" s="82" t="s">
        <v>1274</v>
      </c>
      <c r="L474" s="2" t="s">
        <v>1286</v>
      </c>
      <c r="M474" s="2">
        <f>G474+G475</f>
        <v>221</v>
      </c>
    </row>
    <row r="475" spans="1:13" ht="15" customHeight="1" x14ac:dyDescent="0.15">
      <c r="B475" s="38">
        <f t="shared" si="11"/>
        <v>2</v>
      </c>
      <c r="C475" s="1">
        <v>2</v>
      </c>
      <c r="D475" s="1">
        <v>2</v>
      </c>
      <c r="E475" s="1">
        <v>2</v>
      </c>
      <c r="F475" s="2" t="s">
        <v>1286</v>
      </c>
      <c r="G475" s="1">
        <f t="shared" si="12"/>
        <v>34</v>
      </c>
      <c r="H475" s="6" t="s">
        <v>1280</v>
      </c>
      <c r="I475" s="6" t="s">
        <v>1275</v>
      </c>
      <c r="L475" s="2" t="s">
        <v>1287</v>
      </c>
      <c r="M475" s="2">
        <f>G476</f>
        <v>0</v>
      </c>
    </row>
    <row r="476" spans="1:13" ht="15" customHeight="1" x14ac:dyDescent="0.15">
      <c r="B476" s="38">
        <f t="shared" si="11"/>
        <v>0</v>
      </c>
      <c r="C476" s="1">
        <f>IF(fondo="PE",4,0)</f>
        <v>0</v>
      </c>
      <c r="D476" s="1">
        <f>IF(fondo="PE",4,0)</f>
        <v>0</v>
      </c>
      <c r="E476" s="1">
        <f>IF(fondo="PE",6,0)</f>
        <v>0</v>
      </c>
      <c r="F476" s="2" t="s">
        <v>1287</v>
      </c>
      <c r="G476" s="1">
        <f t="shared" si="12"/>
        <v>0</v>
      </c>
      <c r="H476" s="83" t="s">
        <v>1276</v>
      </c>
      <c r="I476" s="83" t="s">
        <v>1277</v>
      </c>
      <c r="L476" s="2" t="s">
        <v>578</v>
      </c>
      <c r="M476" s="2">
        <f>G477</f>
        <v>544</v>
      </c>
    </row>
    <row r="477" spans="1:13" ht="15" customHeight="1" x14ac:dyDescent="0.15">
      <c r="B477" s="38">
        <f t="shared" si="11"/>
        <v>32</v>
      </c>
      <c r="C477" s="1">
        <f t="shared" ref="C477:E478" si="13">2*C473</f>
        <v>32</v>
      </c>
      <c r="D477" s="1">
        <f t="shared" si="13"/>
        <v>32</v>
      </c>
      <c r="E477" s="1">
        <f t="shared" si="13"/>
        <v>32</v>
      </c>
      <c r="F477" s="2" t="s">
        <v>578</v>
      </c>
      <c r="G477" s="1">
        <f t="shared" si="12"/>
        <v>544</v>
      </c>
      <c r="H477" s="79" t="s">
        <v>1273</v>
      </c>
      <c r="I477" s="79" t="s">
        <v>1273</v>
      </c>
      <c r="L477" s="2" t="s">
        <v>1288</v>
      </c>
      <c r="M477" s="2">
        <f>G478+G479+G480</f>
        <v>374</v>
      </c>
    </row>
    <row r="478" spans="1:13" ht="15" customHeight="1" x14ac:dyDescent="0.15">
      <c r="B478" s="38">
        <f t="shared" si="11"/>
        <v>22</v>
      </c>
      <c r="C478" s="1">
        <f t="shared" si="13"/>
        <v>14</v>
      </c>
      <c r="D478" s="1">
        <f t="shared" si="13"/>
        <v>16</v>
      </c>
      <c r="E478" s="1">
        <f t="shared" si="13"/>
        <v>22</v>
      </c>
      <c r="F478" s="2" t="s">
        <v>1288</v>
      </c>
      <c r="G478" s="1">
        <f t="shared" si="12"/>
        <v>374</v>
      </c>
      <c r="H478" s="82" t="s">
        <v>1280</v>
      </c>
      <c r="I478" s="82" t="s">
        <v>1274</v>
      </c>
      <c r="L478" s="2" t="s">
        <v>1289</v>
      </c>
      <c r="M478" s="2">
        <f>G481</f>
        <v>68</v>
      </c>
    </row>
    <row r="479" spans="1:13" ht="15" customHeight="1" x14ac:dyDescent="0.15">
      <c r="B479" s="84">
        <f t="shared" si="11"/>
        <v>0</v>
      </c>
      <c r="C479" s="85">
        <v>0</v>
      </c>
      <c r="D479" s="85">
        <v>0</v>
      </c>
      <c r="E479" s="85">
        <v>0</v>
      </c>
      <c r="F479" s="86" t="s">
        <v>1288</v>
      </c>
      <c r="G479" s="85">
        <f t="shared" si="12"/>
        <v>0</v>
      </c>
      <c r="H479" s="86" t="s">
        <v>1278</v>
      </c>
      <c r="I479" s="86" t="s">
        <v>1279</v>
      </c>
      <c r="L479" s="2" t="s">
        <v>1290</v>
      </c>
      <c r="M479" s="2">
        <f>G482+G483</f>
        <v>221</v>
      </c>
    </row>
    <row r="480" spans="1:13" ht="15" customHeight="1" x14ac:dyDescent="0.15">
      <c r="B480" s="38">
        <f t="shared" si="11"/>
        <v>0</v>
      </c>
      <c r="C480" s="1">
        <f>IF(fondo="PE",4,0)</f>
        <v>0</v>
      </c>
      <c r="D480" s="1">
        <f>IF(fondo="PE",4,0)</f>
        <v>0</v>
      </c>
      <c r="E480" s="1">
        <f>IF(fondo="PE",6,0)</f>
        <v>0</v>
      </c>
      <c r="F480" s="2" t="s">
        <v>1288</v>
      </c>
      <c r="G480" s="1">
        <f t="shared" si="12"/>
        <v>0</v>
      </c>
      <c r="H480" s="83" t="s">
        <v>1276</v>
      </c>
      <c r="I480" s="83" t="s">
        <v>1277</v>
      </c>
      <c r="L480" s="2" t="s">
        <v>1291</v>
      </c>
      <c r="M480" s="2">
        <f>G484</f>
        <v>272</v>
      </c>
    </row>
    <row r="481" spans="2:13" ht="15" customHeight="1" x14ac:dyDescent="0.15">
      <c r="B481" s="38">
        <f t="shared" si="11"/>
        <v>4</v>
      </c>
      <c r="C481" s="1">
        <v>4</v>
      </c>
      <c r="D481" s="1">
        <v>4</v>
      </c>
      <c r="E481" s="1">
        <v>4</v>
      </c>
      <c r="F481" s="2" t="s">
        <v>1289</v>
      </c>
      <c r="G481" s="1">
        <f t="shared" si="12"/>
        <v>68</v>
      </c>
      <c r="H481" s="6" t="s">
        <v>1280</v>
      </c>
      <c r="I481" s="6" t="s">
        <v>1275</v>
      </c>
      <c r="L481" s="2" t="s">
        <v>1292</v>
      </c>
      <c r="M481" s="2">
        <f>G485+G486</f>
        <v>0</v>
      </c>
    </row>
    <row r="482" spans="2:13" ht="15" customHeight="1" x14ac:dyDescent="0.15">
      <c r="B482" s="38">
        <f t="shared" si="11"/>
        <v>2</v>
      </c>
      <c r="C482" s="1">
        <v>2</v>
      </c>
      <c r="D482" s="1">
        <v>2</v>
      </c>
      <c r="E482" s="1">
        <v>2</v>
      </c>
      <c r="F482" s="2" t="s">
        <v>1290</v>
      </c>
      <c r="G482" s="1">
        <f t="shared" si="12"/>
        <v>34</v>
      </c>
      <c r="H482" s="6" t="s">
        <v>1280</v>
      </c>
      <c r="I482" s="6" t="s">
        <v>1275</v>
      </c>
      <c r="L482" s="16"/>
      <c r="M482" s="16"/>
    </row>
    <row r="483" spans="2:13" ht="15" customHeight="1" x14ac:dyDescent="0.15">
      <c r="B483" s="38">
        <f t="shared" si="11"/>
        <v>11</v>
      </c>
      <c r="C483" s="1">
        <f>C474</f>
        <v>7</v>
      </c>
      <c r="D483" s="1">
        <f>D474</f>
        <v>8</v>
      </c>
      <c r="E483" s="1">
        <f>E474</f>
        <v>11</v>
      </c>
      <c r="F483" s="2" t="s">
        <v>1290</v>
      </c>
      <c r="G483" s="1">
        <f t="shared" si="12"/>
        <v>187</v>
      </c>
      <c r="H483" s="82" t="s">
        <v>1280</v>
      </c>
      <c r="I483" s="82" t="s">
        <v>1274</v>
      </c>
      <c r="M483" s="2">
        <f>SUM(M473:M482)</f>
        <v>1972</v>
      </c>
    </row>
    <row r="484" spans="2:13" ht="15" customHeight="1" x14ac:dyDescent="0.15">
      <c r="B484" s="38">
        <f t="shared" si="11"/>
        <v>16</v>
      </c>
      <c r="C484" s="1">
        <f>C473</f>
        <v>16</v>
      </c>
      <c r="D484" s="1">
        <f>D473</f>
        <v>16</v>
      </c>
      <c r="E484" s="1">
        <f>E473</f>
        <v>16</v>
      </c>
      <c r="F484" s="2" t="s">
        <v>1291</v>
      </c>
      <c r="G484" s="1">
        <f t="shared" si="12"/>
        <v>272</v>
      </c>
      <c r="H484" s="79" t="s">
        <v>1273</v>
      </c>
      <c r="I484" s="79" t="s">
        <v>1273</v>
      </c>
    </row>
    <row r="485" spans="2:13" ht="15" customHeight="1" x14ac:dyDescent="0.15">
      <c r="B485" s="84">
        <f t="shared" si="11"/>
        <v>0</v>
      </c>
      <c r="C485" s="85">
        <v>0</v>
      </c>
      <c r="D485" s="85">
        <v>0</v>
      </c>
      <c r="E485" s="85">
        <v>0</v>
      </c>
      <c r="F485" s="86" t="s">
        <v>1292</v>
      </c>
      <c r="G485" s="85">
        <f t="shared" si="12"/>
        <v>0</v>
      </c>
      <c r="H485" s="86" t="s">
        <v>1278</v>
      </c>
      <c r="I485" s="86" t="s">
        <v>1279</v>
      </c>
    </row>
    <row r="486" spans="2:13" ht="15" customHeight="1" x14ac:dyDescent="0.15">
      <c r="B486" s="38">
        <f t="shared" si="11"/>
        <v>0</v>
      </c>
      <c r="C486" s="1">
        <f>IF(fondo="PE",4,0)</f>
        <v>0</v>
      </c>
      <c r="D486" s="1">
        <f>IF(fondo="PE",4,0)</f>
        <v>0</v>
      </c>
      <c r="E486" s="1">
        <f>IF(fondo="PE",6,0)</f>
        <v>0</v>
      </c>
      <c r="F486" s="2" t="s">
        <v>1292</v>
      </c>
      <c r="G486" s="1">
        <f t="shared" si="12"/>
        <v>0</v>
      </c>
      <c r="H486" s="83" t="s">
        <v>1276</v>
      </c>
      <c r="I486" s="83" t="s">
        <v>1277</v>
      </c>
    </row>
    <row r="487" spans="2:13" ht="15" customHeight="1" x14ac:dyDescent="0.15">
      <c r="B487" s="16"/>
      <c r="C487" s="16"/>
      <c r="D487" s="16"/>
      <c r="E487" s="16"/>
      <c r="F487" s="16"/>
      <c r="G487" s="17">
        <f>SUM(G473:G486)</f>
        <v>1972</v>
      </c>
      <c r="H487" s="16"/>
      <c r="I487" s="16"/>
    </row>
    <row r="491" spans="2:13" ht="15" customHeight="1" x14ac:dyDescent="0.15">
      <c r="B491" s="12">
        <v>1</v>
      </c>
      <c r="C491" s="12">
        <v>2</v>
      </c>
      <c r="D491" s="12">
        <v>3</v>
      </c>
      <c r="E491" s="12">
        <v>4</v>
      </c>
      <c r="F491" s="12">
        <v>5</v>
      </c>
      <c r="K491" s="44" t="s">
        <v>1296</v>
      </c>
    </row>
    <row r="492" spans="2:13" ht="15" customHeight="1" x14ac:dyDescent="0.15">
      <c r="B492" s="1" t="s">
        <v>1271</v>
      </c>
      <c r="C492" s="11" t="s">
        <v>817</v>
      </c>
      <c r="D492" s="11" t="s">
        <v>818</v>
      </c>
      <c r="F492" s="1" t="s">
        <v>111</v>
      </c>
      <c r="G492" s="1" t="s">
        <v>101</v>
      </c>
      <c r="H492" s="278" t="s">
        <v>1272</v>
      </c>
      <c r="I492" s="278"/>
    </row>
    <row r="493" spans="2:13" ht="15" customHeight="1" x14ac:dyDescent="0.15">
      <c r="B493" s="1">
        <f t="shared" ref="B493:B507" si="14">IF(mod_base="50 STD",C493,IF(mod_base="60 STD",D493,0))</f>
        <v>0</v>
      </c>
      <c r="C493" s="1">
        <v>18</v>
      </c>
      <c r="D493" s="1">
        <v>18</v>
      </c>
      <c r="F493" s="2" t="s">
        <v>1285</v>
      </c>
      <c r="G493" s="1">
        <f t="shared" ref="G493:G507" si="15">B493*n_giunz</f>
        <v>0</v>
      </c>
      <c r="H493" s="2" t="s">
        <v>1273</v>
      </c>
      <c r="I493" s="2" t="s">
        <v>1273</v>
      </c>
      <c r="L493" s="2" t="s">
        <v>1285</v>
      </c>
      <c r="M493" s="2">
        <f>G493</f>
        <v>0</v>
      </c>
    </row>
    <row r="494" spans="2:13" ht="15" customHeight="1" x14ac:dyDescent="0.15">
      <c r="B494" s="1">
        <f t="shared" si="14"/>
        <v>0</v>
      </c>
      <c r="C494" s="1">
        <v>11</v>
      </c>
      <c r="D494" s="1">
        <v>13</v>
      </c>
      <c r="F494" s="2" t="s">
        <v>1286</v>
      </c>
      <c r="G494" s="1">
        <f t="shared" si="15"/>
        <v>0</v>
      </c>
      <c r="H494" s="2" t="s">
        <v>1280</v>
      </c>
      <c r="I494" s="2" t="s">
        <v>1274</v>
      </c>
      <c r="L494" s="2" t="s">
        <v>1286</v>
      </c>
      <c r="M494" s="2">
        <f>G494+G495</f>
        <v>0</v>
      </c>
    </row>
    <row r="495" spans="2:13" ht="15" customHeight="1" x14ac:dyDescent="0.15">
      <c r="B495" s="1">
        <f t="shared" si="14"/>
        <v>0</v>
      </c>
      <c r="C495" s="1">
        <v>2</v>
      </c>
      <c r="D495" s="1">
        <v>2</v>
      </c>
      <c r="F495" s="2" t="s">
        <v>1286</v>
      </c>
      <c r="G495" s="1">
        <f t="shared" si="15"/>
        <v>0</v>
      </c>
      <c r="H495" s="2" t="s">
        <v>1280</v>
      </c>
      <c r="I495" s="2" t="s">
        <v>1275</v>
      </c>
      <c r="L495" s="2" t="s">
        <v>1293</v>
      </c>
      <c r="M495" s="2">
        <f>G496</f>
        <v>0</v>
      </c>
    </row>
    <row r="496" spans="2:13" ht="15" customHeight="1" x14ac:dyDescent="0.15">
      <c r="B496" s="1">
        <f t="shared" si="14"/>
        <v>0</v>
      </c>
      <c r="C496" s="1">
        <f>IF(fondo="STD",0,2)</f>
        <v>0</v>
      </c>
      <c r="D496" s="1">
        <f>IF(fondo="STD",0,2)</f>
        <v>0</v>
      </c>
      <c r="F496" s="2" t="s">
        <v>1293</v>
      </c>
      <c r="G496" s="1">
        <f t="shared" si="15"/>
        <v>0</v>
      </c>
      <c r="H496" s="2" t="s">
        <v>1283</v>
      </c>
      <c r="I496" s="2" t="s">
        <v>1281</v>
      </c>
      <c r="L496" s="2" t="s">
        <v>1287</v>
      </c>
      <c r="M496" s="2">
        <f>G497</f>
        <v>0</v>
      </c>
    </row>
    <row r="497" spans="2:13" ht="15" customHeight="1" x14ac:dyDescent="0.15">
      <c r="B497" s="1">
        <f t="shared" si="14"/>
        <v>0</v>
      </c>
      <c r="C497" s="1">
        <f>IF(fondo="STD",0,6)</f>
        <v>0</v>
      </c>
      <c r="D497" s="1">
        <f>IF(fondo="STD",0,8)</f>
        <v>0</v>
      </c>
      <c r="F497" s="2" t="s">
        <v>1287</v>
      </c>
      <c r="G497" s="1">
        <f t="shared" si="15"/>
        <v>0</v>
      </c>
      <c r="H497" s="2" t="s">
        <v>1276</v>
      </c>
      <c r="I497" s="2" t="s">
        <v>278</v>
      </c>
      <c r="L497" s="2" t="s">
        <v>578</v>
      </c>
      <c r="M497" s="2">
        <f>G498</f>
        <v>0</v>
      </c>
    </row>
    <row r="498" spans="2:13" ht="15" customHeight="1" x14ac:dyDescent="0.15">
      <c r="B498" s="1">
        <f t="shared" si="14"/>
        <v>0</v>
      </c>
      <c r="C498" s="1">
        <f>2*C493</f>
        <v>36</v>
      </c>
      <c r="D498" s="1">
        <f>2*D493</f>
        <v>36</v>
      </c>
      <c r="F498" s="2" t="s">
        <v>578</v>
      </c>
      <c r="G498" s="1">
        <f t="shared" si="15"/>
        <v>0</v>
      </c>
      <c r="H498" s="2" t="s">
        <v>1273</v>
      </c>
      <c r="I498" s="2" t="s">
        <v>1273</v>
      </c>
      <c r="L498" s="2" t="s">
        <v>1288</v>
      </c>
      <c r="M498" s="2">
        <f>G499+G500</f>
        <v>0</v>
      </c>
    </row>
    <row r="499" spans="2:13" ht="15" customHeight="1" x14ac:dyDescent="0.15">
      <c r="B499" s="1">
        <f t="shared" si="14"/>
        <v>0</v>
      </c>
      <c r="C499" s="1">
        <f>2*C494</f>
        <v>22</v>
      </c>
      <c r="D499" s="1">
        <f>2*D494</f>
        <v>26</v>
      </c>
      <c r="F499" s="2" t="s">
        <v>1288</v>
      </c>
      <c r="G499" s="1">
        <f t="shared" si="15"/>
        <v>0</v>
      </c>
      <c r="H499" s="2" t="s">
        <v>1280</v>
      </c>
      <c r="I499" s="2" t="s">
        <v>1274</v>
      </c>
      <c r="L499" s="2" t="s">
        <v>1289</v>
      </c>
      <c r="M499" s="2">
        <f>G501+G502</f>
        <v>0</v>
      </c>
    </row>
    <row r="500" spans="2:13" ht="15" customHeight="1" x14ac:dyDescent="0.15">
      <c r="B500" s="1">
        <f t="shared" si="14"/>
        <v>0</v>
      </c>
      <c r="C500" s="1">
        <f>IF(fondo="STD",2,6)</f>
        <v>2</v>
      </c>
      <c r="D500" s="1">
        <f>IF(fondo="STD",3,8)</f>
        <v>3</v>
      </c>
      <c r="F500" s="2" t="s">
        <v>1288</v>
      </c>
      <c r="G500" s="1">
        <f t="shared" si="15"/>
        <v>0</v>
      </c>
      <c r="H500" s="2" t="s">
        <v>1282</v>
      </c>
      <c r="I500" s="2" t="s">
        <v>278</v>
      </c>
      <c r="L500" s="2" t="s">
        <v>1290</v>
      </c>
      <c r="M500" s="2">
        <f>G503+G504</f>
        <v>0</v>
      </c>
    </row>
    <row r="501" spans="2:13" ht="15" customHeight="1" x14ac:dyDescent="0.15">
      <c r="B501" s="1">
        <f t="shared" si="14"/>
        <v>0</v>
      </c>
      <c r="C501" s="1">
        <f>2*C495</f>
        <v>4</v>
      </c>
      <c r="D501" s="1">
        <f>2*D495</f>
        <v>4</v>
      </c>
      <c r="F501" s="2" t="s">
        <v>1289</v>
      </c>
      <c r="G501" s="1">
        <f t="shared" si="15"/>
        <v>0</v>
      </c>
      <c r="H501" s="2" t="s">
        <v>1280</v>
      </c>
      <c r="I501" s="2" t="s">
        <v>1275</v>
      </c>
      <c r="L501" s="2" t="s">
        <v>1291</v>
      </c>
      <c r="M501" s="2">
        <f>G505</f>
        <v>0</v>
      </c>
    </row>
    <row r="502" spans="2:13" ht="15" customHeight="1" x14ac:dyDescent="0.15">
      <c r="B502" s="1">
        <f t="shared" si="14"/>
        <v>0</v>
      </c>
      <c r="C502" s="1">
        <f>IF(fondo="STD",0,4)</f>
        <v>0</v>
      </c>
      <c r="D502" s="1">
        <f>IF(fondo="STD",0,4)</f>
        <v>0</v>
      </c>
      <c r="F502" s="2" t="s">
        <v>1289</v>
      </c>
      <c r="G502" s="1">
        <f t="shared" si="15"/>
        <v>0</v>
      </c>
      <c r="H502" s="2" t="s">
        <v>1283</v>
      </c>
      <c r="I502" s="2" t="s">
        <v>1281</v>
      </c>
      <c r="L502" s="2" t="s">
        <v>1292</v>
      </c>
      <c r="M502" s="2">
        <f>G506+G507</f>
        <v>0</v>
      </c>
    </row>
    <row r="503" spans="2:13" ht="15" customHeight="1" x14ac:dyDescent="0.15">
      <c r="B503" s="1">
        <f t="shared" si="14"/>
        <v>0</v>
      </c>
      <c r="C503" s="1">
        <f>C494</f>
        <v>11</v>
      </c>
      <c r="D503" s="1">
        <f>D494</f>
        <v>13</v>
      </c>
      <c r="F503" s="2" t="s">
        <v>1290</v>
      </c>
      <c r="G503" s="1">
        <f t="shared" si="15"/>
        <v>0</v>
      </c>
      <c r="H503" s="2" t="s">
        <v>1280</v>
      </c>
      <c r="I503" s="2" t="s">
        <v>1274</v>
      </c>
      <c r="L503" s="16"/>
      <c r="M503" s="16"/>
    </row>
    <row r="504" spans="2:13" ht="15" customHeight="1" x14ac:dyDescent="0.15">
      <c r="B504" s="1">
        <f t="shared" si="14"/>
        <v>0</v>
      </c>
      <c r="C504" s="1">
        <f>C495</f>
        <v>2</v>
      </c>
      <c r="D504" s="1">
        <f>D495</f>
        <v>2</v>
      </c>
      <c r="F504" s="2" t="s">
        <v>1290</v>
      </c>
      <c r="G504" s="1">
        <f t="shared" si="15"/>
        <v>0</v>
      </c>
      <c r="H504" s="2" t="s">
        <v>1280</v>
      </c>
      <c r="I504" s="2" t="s">
        <v>1275</v>
      </c>
      <c r="M504" s="2">
        <f>SUM(M493:M503)</f>
        <v>0</v>
      </c>
    </row>
    <row r="505" spans="2:13" ht="15" customHeight="1" x14ac:dyDescent="0.15">
      <c r="B505" s="1">
        <f t="shared" si="14"/>
        <v>0</v>
      </c>
      <c r="C505" s="1">
        <f>C493</f>
        <v>18</v>
      </c>
      <c r="D505" s="1">
        <f>D493</f>
        <v>18</v>
      </c>
      <c r="F505" s="2" t="s">
        <v>1291</v>
      </c>
      <c r="G505" s="1">
        <f t="shared" si="15"/>
        <v>0</v>
      </c>
      <c r="H505" s="2" t="s">
        <v>1273</v>
      </c>
      <c r="I505" s="2" t="s">
        <v>1273</v>
      </c>
    </row>
    <row r="506" spans="2:13" ht="15" customHeight="1" x14ac:dyDescent="0.15">
      <c r="B506" s="1">
        <f t="shared" si="14"/>
        <v>0</v>
      </c>
      <c r="C506" s="1">
        <f>IF(fondo="STD",0,2)</f>
        <v>0</v>
      </c>
      <c r="D506" s="1">
        <f>IF(fondo="STD",0,2)</f>
        <v>0</v>
      </c>
      <c r="F506" s="2" t="s">
        <v>1292</v>
      </c>
      <c r="G506" s="1">
        <f t="shared" si="15"/>
        <v>0</v>
      </c>
      <c r="H506" s="2" t="s">
        <v>1283</v>
      </c>
      <c r="I506" s="2" t="s">
        <v>1281</v>
      </c>
    </row>
    <row r="507" spans="2:13" ht="15" customHeight="1" x14ac:dyDescent="0.15">
      <c r="B507" s="1">
        <f t="shared" si="14"/>
        <v>0</v>
      </c>
      <c r="C507" s="1">
        <f>C500</f>
        <v>2</v>
      </c>
      <c r="D507" s="1">
        <f>D500</f>
        <v>3</v>
      </c>
      <c r="F507" s="2" t="s">
        <v>1292</v>
      </c>
      <c r="G507" s="1">
        <f t="shared" si="15"/>
        <v>0</v>
      </c>
      <c r="H507" s="2" t="s">
        <v>1282</v>
      </c>
      <c r="I507" s="2" t="s">
        <v>278</v>
      </c>
    </row>
    <row r="508" spans="2:13" ht="15" customHeight="1" x14ac:dyDescent="0.15">
      <c r="B508" s="16"/>
      <c r="C508" s="16"/>
      <c r="D508" s="16"/>
      <c r="E508" s="16"/>
      <c r="F508" s="16"/>
      <c r="G508" s="17">
        <f>SUM(G493:G507)</f>
        <v>0</v>
      </c>
      <c r="H508" s="16"/>
      <c r="I508" s="16"/>
    </row>
    <row r="512" spans="2:13" ht="15" customHeight="1" x14ac:dyDescent="0.15">
      <c r="B512" s="12">
        <v>1</v>
      </c>
      <c r="C512" s="12">
        <v>2</v>
      </c>
      <c r="D512" s="12">
        <v>3</v>
      </c>
      <c r="E512" s="12">
        <v>4</v>
      </c>
      <c r="F512" s="12">
        <v>5</v>
      </c>
      <c r="K512" s="44" t="s">
        <v>1299</v>
      </c>
    </row>
    <row r="513" spans="2:13" ht="15" customHeight="1" x14ac:dyDescent="0.15">
      <c r="B513" s="1" t="s">
        <v>1271</v>
      </c>
      <c r="C513" s="11" t="s">
        <v>811</v>
      </c>
      <c r="D513" s="11" t="s">
        <v>812</v>
      </c>
      <c r="E513" s="11" t="s">
        <v>813</v>
      </c>
      <c r="F513" s="1" t="s">
        <v>111</v>
      </c>
      <c r="G513" s="1" t="s">
        <v>101</v>
      </c>
      <c r="H513" s="278" t="s">
        <v>1272</v>
      </c>
      <c r="I513" s="278"/>
    </row>
    <row r="514" spans="2:13" ht="15" customHeight="1" x14ac:dyDescent="0.15">
      <c r="B514" s="1">
        <f t="shared" ref="B514:B527" si="16">IF(mod_base="50 OSB",C514,IF(mod_base="60 OSB",D514,IF(mod_base="80 OSB",E514,0)))</f>
        <v>0</v>
      </c>
      <c r="C514" s="1">
        <v>20</v>
      </c>
      <c r="D514" s="1">
        <v>20</v>
      </c>
      <c r="E514" s="1">
        <v>20</v>
      </c>
      <c r="F514" s="2" t="s">
        <v>1285</v>
      </c>
      <c r="G514" s="1">
        <f t="shared" ref="G514:G527" si="17">B514*n_giunz</f>
        <v>0</v>
      </c>
      <c r="H514" s="2" t="s">
        <v>1273</v>
      </c>
      <c r="I514" s="2" t="s">
        <v>1273</v>
      </c>
      <c r="L514" s="2" t="s">
        <v>1285</v>
      </c>
      <c r="M514" s="2">
        <f>G514</f>
        <v>0</v>
      </c>
    </row>
    <row r="515" spans="2:13" ht="15" customHeight="1" x14ac:dyDescent="0.15">
      <c r="B515" s="1">
        <f t="shared" si="16"/>
        <v>0</v>
      </c>
      <c r="C515" s="1">
        <v>11</v>
      </c>
      <c r="D515" s="1">
        <v>13</v>
      </c>
      <c r="E515" s="1">
        <v>17</v>
      </c>
      <c r="F515" s="2" t="s">
        <v>1286</v>
      </c>
      <c r="G515" s="1">
        <f t="shared" si="17"/>
        <v>0</v>
      </c>
      <c r="H515" s="2" t="s">
        <v>1280</v>
      </c>
      <c r="I515" s="2" t="s">
        <v>1274</v>
      </c>
      <c r="L515" s="2" t="s">
        <v>1286</v>
      </c>
      <c r="M515" s="2">
        <f>G515+G516</f>
        <v>0</v>
      </c>
    </row>
    <row r="516" spans="2:13" ht="15" customHeight="1" x14ac:dyDescent="0.15">
      <c r="B516" s="1">
        <f t="shared" si="16"/>
        <v>0</v>
      </c>
      <c r="C516" s="1">
        <v>2</v>
      </c>
      <c r="D516" s="1">
        <v>2</v>
      </c>
      <c r="E516" s="1">
        <v>2</v>
      </c>
      <c r="F516" s="2" t="s">
        <v>1286</v>
      </c>
      <c r="G516" s="1">
        <f t="shared" si="17"/>
        <v>0</v>
      </c>
      <c r="H516" s="2" t="s">
        <v>1280</v>
      </c>
      <c r="I516" s="2" t="s">
        <v>1275</v>
      </c>
      <c r="L516" s="2" t="s">
        <v>1287</v>
      </c>
      <c r="M516" s="2">
        <f>G517</f>
        <v>0</v>
      </c>
    </row>
    <row r="517" spans="2:13" ht="15" customHeight="1" x14ac:dyDescent="0.15">
      <c r="B517" s="1">
        <f t="shared" si="16"/>
        <v>0</v>
      </c>
      <c r="C517" s="1">
        <f>IF(fondo="STD",0,C520+1)</f>
        <v>0</v>
      </c>
      <c r="D517" s="1">
        <f>IF(fondo="STD",0,D520+1)</f>
        <v>0</v>
      </c>
      <c r="E517" s="1">
        <f>IF(fondo="STD",0,E520+1)</f>
        <v>0</v>
      </c>
      <c r="F517" s="2" t="s">
        <v>1287</v>
      </c>
      <c r="G517" s="1">
        <f t="shared" si="17"/>
        <v>0</v>
      </c>
      <c r="H517" s="2" t="s">
        <v>1276</v>
      </c>
      <c r="I517" s="2" t="s">
        <v>1284</v>
      </c>
      <c r="L517" s="2" t="s">
        <v>578</v>
      </c>
      <c r="M517" s="2">
        <f>G518</f>
        <v>0</v>
      </c>
    </row>
    <row r="518" spans="2:13" ht="15" customHeight="1" x14ac:dyDescent="0.15">
      <c r="B518" s="1">
        <f t="shared" si="16"/>
        <v>0</v>
      </c>
      <c r="C518" s="1">
        <f t="shared" ref="C518:E519" si="18">2*C514</f>
        <v>40</v>
      </c>
      <c r="D518" s="1">
        <f t="shared" si="18"/>
        <v>40</v>
      </c>
      <c r="E518" s="1">
        <f t="shared" si="18"/>
        <v>40</v>
      </c>
      <c r="F518" s="2" t="s">
        <v>578</v>
      </c>
      <c r="G518" s="1">
        <f t="shared" si="17"/>
        <v>0</v>
      </c>
      <c r="H518" s="2" t="s">
        <v>1273</v>
      </c>
      <c r="I518" s="2" t="s">
        <v>1273</v>
      </c>
      <c r="L518" s="2" t="s">
        <v>1288</v>
      </c>
      <c r="M518" s="2">
        <f>G519+G520+G521</f>
        <v>0</v>
      </c>
    </row>
    <row r="519" spans="2:13" ht="15" customHeight="1" x14ac:dyDescent="0.15">
      <c r="B519" s="1">
        <f t="shared" si="16"/>
        <v>0</v>
      </c>
      <c r="C519" s="1">
        <f t="shared" si="18"/>
        <v>22</v>
      </c>
      <c r="D519" s="1">
        <f t="shared" si="18"/>
        <v>26</v>
      </c>
      <c r="E519" s="1">
        <f t="shared" si="18"/>
        <v>34</v>
      </c>
      <c r="F519" s="2" t="s">
        <v>1288</v>
      </c>
      <c r="G519" s="1">
        <f t="shared" si="17"/>
        <v>0</v>
      </c>
      <c r="H519" s="2" t="s">
        <v>1280</v>
      </c>
      <c r="I519" s="2" t="s">
        <v>1274</v>
      </c>
      <c r="L519" s="2" t="s">
        <v>1289</v>
      </c>
      <c r="M519" s="2">
        <f>G522</f>
        <v>0</v>
      </c>
    </row>
    <row r="520" spans="2:13" ht="15" customHeight="1" x14ac:dyDescent="0.15">
      <c r="B520" s="1">
        <f t="shared" si="16"/>
        <v>0</v>
      </c>
      <c r="C520" s="1">
        <v>3</v>
      </c>
      <c r="D520" s="1">
        <v>5</v>
      </c>
      <c r="E520" s="1">
        <v>5</v>
      </c>
      <c r="F520" s="2" t="s">
        <v>1288</v>
      </c>
      <c r="G520" s="1">
        <f t="shared" si="17"/>
        <v>0</v>
      </c>
      <c r="H520" s="2" t="s">
        <v>1282</v>
      </c>
      <c r="I520" s="2" t="s">
        <v>278</v>
      </c>
      <c r="L520" s="2" t="s">
        <v>1290</v>
      </c>
      <c r="M520" s="2">
        <f>G523+G524</f>
        <v>0</v>
      </c>
    </row>
    <row r="521" spans="2:13" ht="15" customHeight="1" x14ac:dyDescent="0.15">
      <c r="B521" s="1">
        <f t="shared" si="16"/>
        <v>0</v>
      </c>
      <c r="C521" s="1">
        <f>C517</f>
        <v>0</v>
      </c>
      <c r="D521" s="1">
        <f>D517</f>
        <v>0</v>
      </c>
      <c r="E521" s="1">
        <f>E517</f>
        <v>0</v>
      </c>
      <c r="F521" s="2" t="s">
        <v>1288</v>
      </c>
      <c r="G521" s="1">
        <f t="shared" si="17"/>
        <v>0</v>
      </c>
      <c r="H521" s="2" t="s">
        <v>1276</v>
      </c>
      <c r="I521" s="2" t="s">
        <v>1284</v>
      </c>
      <c r="L521" s="2" t="s">
        <v>1291</v>
      </c>
      <c r="M521" s="2">
        <f>G525</f>
        <v>0</v>
      </c>
    </row>
    <row r="522" spans="2:13" ht="15" customHeight="1" x14ac:dyDescent="0.15">
      <c r="B522" s="1">
        <f t="shared" si="16"/>
        <v>0</v>
      </c>
      <c r="C522" s="1">
        <f>2*C516</f>
        <v>4</v>
      </c>
      <c r="D522" s="1">
        <f>2*D516</f>
        <v>4</v>
      </c>
      <c r="E522" s="1">
        <f>2*E516</f>
        <v>4</v>
      </c>
      <c r="F522" s="2" t="s">
        <v>1289</v>
      </c>
      <c r="G522" s="1">
        <f t="shared" si="17"/>
        <v>0</v>
      </c>
      <c r="H522" s="2" t="s">
        <v>1280</v>
      </c>
      <c r="I522" s="2" t="s">
        <v>1275</v>
      </c>
      <c r="L522" s="2" t="s">
        <v>1292</v>
      </c>
      <c r="M522" s="2">
        <f>G526+G527</f>
        <v>0</v>
      </c>
    </row>
    <row r="523" spans="2:13" ht="15" customHeight="1" x14ac:dyDescent="0.15">
      <c r="B523" s="1">
        <f t="shared" si="16"/>
        <v>0</v>
      </c>
      <c r="C523" s="1">
        <f t="shared" ref="C523:E524" si="19">C515</f>
        <v>11</v>
      </c>
      <c r="D523" s="1">
        <f t="shared" si="19"/>
        <v>13</v>
      </c>
      <c r="E523" s="1">
        <f t="shared" si="19"/>
        <v>17</v>
      </c>
      <c r="F523" s="2" t="s">
        <v>1290</v>
      </c>
      <c r="G523" s="1">
        <f t="shared" si="17"/>
        <v>0</v>
      </c>
      <c r="H523" s="2" t="s">
        <v>1280</v>
      </c>
      <c r="I523" s="2" t="s">
        <v>1274</v>
      </c>
      <c r="L523" s="16"/>
      <c r="M523" s="16"/>
    </row>
    <row r="524" spans="2:13" ht="15" customHeight="1" x14ac:dyDescent="0.15">
      <c r="B524" s="1">
        <f t="shared" si="16"/>
        <v>0</v>
      </c>
      <c r="C524" s="1">
        <f t="shared" si="19"/>
        <v>2</v>
      </c>
      <c r="D524" s="1">
        <f t="shared" si="19"/>
        <v>2</v>
      </c>
      <c r="E524" s="1">
        <f t="shared" si="19"/>
        <v>2</v>
      </c>
      <c r="F524" s="2" t="s">
        <v>1290</v>
      </c>
      <c r="G524" s="1">
        <f t="shared" si="17"/>
        <v>0</v>
      </c>
      <c r="H524" s="2" t="s">
        <v>1280</v>
      </c>
      <c r="I524" s="2" t="s">
        <v>1275</v>
      </c>
      <c r="M524" s="2">
        <f>SUM(M514:M523)</f>
        <v>0</v>
      </c>
    </row>
    <row r="525" spans="2:13" ht="15" customHeight="1" x14ac:dyDescent="0.15">
      <c r="B525" s="1">
        <f t="shared" si="16"/>
        <v>0</v>
      </c>
      <c r="C525" s="1">
        <f>C514</f>
        <v>20</v>
      </c>
      <c r="D525" s="1">
        <f>D514</f>
        <v>20</v>
      </c>
      <c r="E525" s="1">
        <f>E514</f>
        <v>20</v>
      </c>
      <c r="F525" s="2" t="s">
        <v>1291</v>
      </c>
      <c r="G525" s="1">
        <f t="shared" si="17"/>
        <v>0</v>
      </c>
      <c r="H525" s="2" t="s">
        <v>1273</v>
      </c>
      <c r="I525" s="2" t="s">
        <v>1273</v>
      </c>
    </row>
    <row r="526" spans="2:13" ht="15" customHeight="1" x14ac:dyDescent="0.15">
      <c r="B526" s="1">
        <f t="shared" si="16"/>
        <v>0</v>
      </c>
      <c r="C526" s="1">
        <f>C517</f>
        <v>0</v>
      </c>
      <c r="D526" s="1">
        <f>D517</f>
        <v>0</v>
      </c>
      <c r="E526" s="1">
        <f>E517</f>
        <v>0</v>
      </c>
      <c r="F526" s="2" t="s">
        <v>1292</v>
      </c>
      <c r="G526" s="1">
        <f t="shared" si="17"/>
        <v>0</v>
      </c>
      <c r="H526" s="2" t="s">
        <v>1276</v>
      </c>
      <c r="I526" s="2" t="s">
        <v>1284</v>
      </c>
    </row>
    <row r="527" spans="2:13" ht="15" customHeight="1" x14ac:dyDescent="0.15">
      <c r="B527" s="1">
        <f t="shared" si="16"/>
        <v>0</v>
      </c>
      <c r="C527" s="1">
        <v>3</v>
      </c>
      <c r="D527" s="1">
        <v>5</v>
      </c>
      <c r="E527" s="1">
        <v>5</v>
      </c>
      <c r="F527" s="2" t="s">
        <v>1292</v>
      </c>
      <c r="G527" s="1">
        <f t="shared" si="17"/>
        <v>0</v>
      </c>
      <c r="H527" s="2" t="s">
        <v>1282</v>
      </c>
      <c r="I527" s="2" t="s">
        <v>278</v>
      </c>
    </row>
    <row r="528" spans="2:13" ht="15" customHeight="1" x14ac:dyDescent="0.15">
      <c r="B528" s="16"/>
      <c r="C528" s="16"/>
      <c r="D528" s="16"/>
      <c r="E528" s="16"/>
      <c r="F528" s="16"/>
      <c r="G528" s="17">
        <f>SUM(G514:G527)</f>
        <v>0</v>
      </c>
      <c r="H528" s="16"/>
      <c r="I528" s="16"/>
    </row>
  </sheetData>
  <sortState xmlns:xlrd2="http://schemas.microsoft.com/office/spreadsheetml/2017/richdata2" ref="Z480:Z523">
    <sortCondition ref="Z480:Z523"/>
  </sortState>
  <mergeCells count="26">
    <mergeCell ref="H492:I492"/>
    <mergeCell ref="AC84:AD84"/>
    <mergeCell ref="AA84:AB84"/>
    <mergeCell ref="D94:E94"/>
    <mergeCell ref="F94:G94"/>
    <mergeCell ref="E355:H355"/>
    <mergeCell ref="J355:M355"/>
    <mergeCell ref="D109:E109"/>
    <mergeCell ref="H109:I109"/>
    <mergeCell ref="F109:G109"/>
    <mergeCell ref="L48:M48"/>
    <mergeCell ref="Y48:Z48"/>
    <mergeCell ref="AW33:AX33"/>
    <mergeCell ref="H513:I513"/>
    <mergeCell ref="G33:H33"/>
    <mergeCell ref="X73:Y73"/>
    <mergeCell ref="V75:V78"/>
    <mergeCell ref="W84:X84"/>
    <mergeCell ref="Y84:Z84"/>
    <mergeCell ref="C409:J409"/>
    <mergeCell ref="P48:Q48"/>
    <mergeCell ref="R48:S48"/>
    <mergeCell ref="G48:H48"/>
    <mergeCell ref="J33:K33"/>
    <mergeCell ref="H94:I94"/>
    <mergeCell ref="H472:I472"/>
  </mergeCells>
  <phoneticPr fontId="12" type="noConversion"/>
  <conditionalFormatting sqref="I155:R218">
    <cfRule type="cellIs" dxfId="0" priority="1" operator="equal">
      <formula>"* NON DISPONIBILE *"</formula>
    </cfRule>
  </conditionalFormatting>
  <pageMargins left="0.70866141732283472" right="0.70866141732283472" top="0.74803149606299213" bottom="0.74803149606299213" header="0.31496062992125984" footer="0.31496062992125984"/>
  <pageSetup paperSize="8" scale="10"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055F-9059-406A-B695-21D2BFFD069E}">
  <dimension ref="A1:D252"/>
  <sheetViews>
    <sheetView topLeftCell="A179" workbookViewId="0">
      <selection activeCell="C190" sqref="C190"/>
    </sheetView>
  </sheetViews>
  <sheetFormatPr defaultColWidth="9.33203125" defaultRowHeight="10.5" x14ac:dyDescent="0.15"/>
  <cols>
    <col min="1" max="1" width="9.33203125" style="2"/>
    <col min="2" max="2" width="40.83203125" style="2" customWidth="1"/>
    <col min="3" max="3" width="44" style="1" bestFit="1" customWidth="1"/>
    <col min="4" max="4" width="30.83203125" style="1" customWidth="1"/>
    <col min="5" max="16384" width="9.33203125" style="2"/>
  </cols>
  <sheetData>
    <row r="1" spans="1:4" ht="15" customHeight="1" x14ac:dyDescent="0.15">
      <c r="A1" s="2" t="s">
        <v>1770</v>
      </c>
      <c r="D1" s="1" t="s">
        <v>1771</v>
      </c>
    </row>
    <row r="2" spans="1:4" ht="15" customHeight="1" x14ac:dyDescent="0.15">
      <c r="D2" s="1">
        <f>HLOOKUP(lingua,elenco_lingue,2,FALSE)</f>
        <v>3</v>
      </c>
    </row>
    <row r="3" spans="1:4" ht="15" customHeight="1" x14ac:dyDescent="0.15">
      <c r="A3" s="4" t="s">
        <v>1775</v>
      </c>
      <c r="B3" s="2" t="s">
        <v>1776</v>
      </c>
    </row>
    <row r="4" spans="1:4" ht="15" customHeight="1" x14ac:dyDescent="0.15"/>
    <row r="5" spans="1:4" ht="15" customHeight="1" x14ac:dyDescent="0.15">
      <c r="A5" s="1" t="s">
        <v>238</v>
      </c>
      <c r="B5" s="1" t="s">
        <v>1772</v>
      </c>
      <c r="C5" s="1" t="s">
        <v>1773</v>
      </c>
      <c r="D5" s="1" t="s">
        <v>40</v>
      </c>
    </row>
    <row r="6" spans="1:4" ht="15" customHeight="1" x14ac:dyDescent="0.15">
      <c r="B6" s="1">
        <v>2</v>
      </c>
      <c r="C6" s="1">
        <v>3</v>
      </c>
      <c r="D6" s="1" t="s">
        <v>40</v>
      </c>
    </row>
    <row r="7" spans="1:4" ht="15" customHeight="1" x14ac:dyDescent="0.15">
      <c r="A7" s="1">
        <v>1</v>
      </c>
      <c r="B7" s="2" t="s">
        <v>1214</v>
      </c>
      <c r="C7" s="1" t="s">
        <v>1777</v>
      </c>
      <c r="D7" s="17"/>
    </row>
    <row r="8" spans="1:4" ht="15" customHeight="1" x14ac:dyDescent="0.15">
      <c r="A8" s="1">
        <v>2</v>
      </c>
      <c r="B8" s="2" t="s">
        <v>717</v>
      </c>
      <c r="C8" s="1" t="s">
        <v>1778</v>
      </c>
      <c r="D8" s="17"/>
    </row>
    <row r="9" spans="1:4" ht="15" customHeight="1" x14ac:dyDescent="0.15">
      <c r="A9" s="1">
        <v>3</v>
      </c>
      <c r="B9" s="2" t="s">
        <v>479</v>
      </c>
      <c r="C9" s="1" t="s">
        <v>1779</v>
      </c>
      <c r="D9" s="17"/>
    </row>
    <row r="10" spans="1:4" ht="15" customHeight="1" x14ac:dyDescent="0.15">
      <c r="A10" s="1">
        <v>4</v>
      </c>
      <c r="B10" s="2" t="s">
        <v>12</v>
      </c>
      <c r="C10" s="1" t="s">
        <v>1780</v>
      </c>
      <c r="D10" s="17"/>
    </row>
    <row r="11" spans="1:4" ht="15" customHeight="1" x14ac:dyDescent="0.15">
      <c r="A11" s="1">
        <v>5</v>
      </c>
      <c r="B11" s="2" t="s">
        <v>308</v>
      </c>
      <c r="C11" s="1" t="s">
        <v>1781</v>
      </c>
      <c r="D11" s="17"/>
    </row>
    <row r="12" spans="1:4" ht="15" customHeight="1" x14ac:dyDescent="0.15">
      <c r="A12" s="1">
        <v>6</v>
      </c>
      <c r="B12" s="2" t="s">
        <v>38</v>
      </c>
      <c r="C12" s="1" t="s">
        <v>1782</v>
      </c>
      <c r="D12" s="17"/>
    </row>
    <row r="13" spans="1:4" ht="15" customHeight="1" x14ac:dyDescent="0.15">
      <c r="A13" s="1">
        <v>7</v>
      </c>
      <c r="B13" s="2" t="s">
        <v>1213</v>
      </c>
      <c r="C13" s="1" t="s">
        <v>2018</v>
      </c>
      <c r="D13" s="17"/>
    </row>
    <row r="14" spans="1:4" ht="15" customHeight="1" x14ac:dyDescent="0.15">
      <c r="A14" s="1">
        <v>8</v>
      </c>
      <c r="B14" s="2" t="s">
        <v>779</v>
      </c>
      <c r="C14" s="1" t="s">
        <v>1783</v>
      </c>
      <c r="D14" s="17"/>
    </row>
    <row r="15" spans="1:4" ht="15" customHeight="1" x14ac:dyDescent="0.15">
      <c r="A15" s="1">
        <v>9</v>
      </c>
      <c r="B15" s="2" t="s">
        <v>286</v>
      </c>
      <c r="C15" s="1" t="s">
        <v>1784</v>
      </c>
      <c r="D15" s="17"/>
    </row>
    <row r="16" spans="1:4" ht="15" customHeight="1" x14ac:dyDescent="0.15">
      <c r="A16" s="1">
        <v>10</v>
      </c>
      <c r="B16" s="2" t="s">
        <v>1588</v>
      </c>
      <c r="C16" s="1" t="s">
        <v>2019</v>
      </c>
      <c r="D16" s="17"/>
    </row>
    <row r="17" spans="1:4" ht="15" customHeight="1" x14ac:dyDescent="0.15">
      <c r="A17" s="1">
        <v>11</v>
      </c>
      <c r="B17" s="2" t="s">
        <v>1259</v>
      </c>
      <c r="C17" s="1" t="s">
        <v>1785</v>
      </c>
      <c r="D17" s="17"/>
    </row>
    <row r="18" spans="1:4" ht="15" customHeight="1" x14ac:dyDescent="0.15">
      <c r="A18" s="1">
        <v>12</v>
      </c>
      <c r="B18" s="2" t="s">
        <v>655</v>
      </c>
      <c r="C18" s="1" t="s">
        <v>1786</v>
      </c>
      <c r="D18" s="17"/>
    </row>
    <row r="19" spans="1:4" ht="15" customHeight="1" x14ac:dyDescent="0.15">
      <c r="A19" s="1">
        <v>13</v>
      </c>
      <c r="B19" s="2" t="s">
        <v>199</v>
      </c>
      <c r="C19" s="1" t="s">
        <v>1787</v>
      </c>
      <c r="D19" s="17"/>
    </row>
    <row r="20" spans="1:4" ht="15" customHeight="1" x14ac:dyDescent="0.15">
      <c r="A20" s="1">
        <v>14</v>
      </c>
      <c r="B20" s="2" t="s">
        <v>519</v>
      </c>
      <c r="C20" s="1" t="s">
        <v>1788</v>
      </c>
      <c r="D20" s="17"/>
    </row>
    <row r="21" spans="1:4" ht="15" customHeight="1" x14ac:dyDescent="0.15">
      <c r="A21" s="1">
        <v>15</v>
      </c>
      <c r="B21" s="2" t="s">
        <v>708</v>
      </c>
      <c r="C21" s="1" t="s">
        <v>1789</v>
      </c>
      <c r="D21" s="17"/>
    </row>
    <row r="22" spans="1:4" ht="15" customHeight="1" x14ac:dyDescent="0.15">
      <c r="A22" s="1">
        <v>16</v>
      </c>
      <c r="B22" s="2" t="s">
        <v>220</v>
      </c>
      <c r="C22" s="1" t="s">
        <v>1790</v>
      </c>
      <c r="D22" s="17"/>
    </row>
    <row r="23" spans="1:4" ht="15" customHeight="1" x14ac:dyDescent="0.15">
      <c r="A23" s="1">
        <v>17</v>
      </c>
      <c r="B23" s="2" t="s">
        <v>710</v>
      </c>
      <c r="C23" s="1" t="s">
        <v>2015</v>
      </c>
      <c r="D23" s="17"/>
    </row>
    <row r="24" spans="1:4" ht="15" customHeight="1" x14ac:dyDescent="0.15">
      <c r="A24" s="1">
        <v>18</v>
      </c>
      <c r="B24" s="2" t="s">
        <v>249</v>
      </c>
      <c r="C24" s="1" t="s">
        <v>1791</v>
      </c>
      <c r="D24" s="17"/>
    </row>
    <row r="25" spans="1:4" ht="15" customHeight="1" x14ac:dyDescent="0.15">
      <c r="A25" s="1">
        <v>19</v>
      </c>
      <c r="B25" s="2" t="s">
        <v>292</v>
      </c>
      <c r="C25" s="1" t="s">
        <v>1792</v>
      </c>
      <c r="D25" s="17"/>
    </row>
    <row r="26" spans="1:4" ht="15" customHeight="1" x14ac:dyDescent="0.15">
      <c r="A26" s="1">
        <v>20</v>
      </c>
      <c r="B26" s="2" t="s">
        <v>1578</v>
      </c>
      <c r="C26" s="1" t="s">
        <v>1793</v>
      </c>
      <c r="D26" s="17"/>
    </row>
    <row r="27" spans="1:4" ht="15" customHeight="1" x14ac:dyDescent="0.15">
      <c r="A27" s="1">
        <v>21</v>
      </c>
      <c r="B27" s="2" t="s">
        <v>108</v>
      </c>
      <c r="C27" s="1" t="s">
        <v>1794</v>
      </c>
      <c r="D27" s="17"/>
    </row>
    <row r="28" spans="1:4" ht="15" customHeight="1" x14ac:dyDescent="0.15">
      <c r="A28" s="1">
        <v>22</v>
      </c>
      <c r="B28" s="2" t="s">
        <v>27</v>
      </c>
      <c r="C28" s="1" t="s">
        <v>1795</v>
      </c>
      <c r="D28" s="17"/>
    </row>
    <row r="29" spans="1:4" ht="15" customHeight="1" x14ac:dyDescent="0.15">
      <c r="A29" s="1">
        <v>23</v>
      </c>
      <c r="B29" s="2" t="s">
        <v>51</v>
      </c>
      <c r="C29" s="1" t="s">
        <v>1796</v>
      </c>
      <c r="D29" s="17"/>
    </row>
    <row r="30" spans="1:4" ht="15" customHeight="1" x14ac:dyDescent="0.15">
      <c r="A30" s="1">
        <v>24</v>
      </c>
      <c r="B30" s="2" t="s">
        <v>2</v>
      </c>
      <c r="C30" s="1" t="s">
        <v>1797</v>
      </c>
      <c r="D30" s="17"/>
    </row>
    <row r="31" spans="1:4" ht="15" customHeight="1" x14ac:dyDescent="0.15">
      <c r="A31" s="1">
        <v>25</v>
      </c>
      <c r="B31" s="2" t="s">
        <v>661</v>
      </c>
      <c r="C31" s="1" t="s">
        <v>1798</v>
      </c>
      <c r="D31" s="17"/>
    </row>
    <row r="32" spans="1:4" ht="15" customHeight="1" x14ac:dyDescent="0.15">
      <c r="A32" s="1">
        <v>26</v>
      </c>
      <c r="B32" s="2" t="s">
        <v>243</v>
      </c>
      <c r="C32" s="1" t="s">
        <v>1799</v>
      </c>
      <c r="D32" s="17"/>
    </row>
    <row r="33" spans="1:4" ht="15" customHeight="1" x14ac:dyDescent="0.15">
      <c r="A33" s="1">
        <v>27</v>
      </c>
      <c r="B33" s="2" t="s">
        <v>471</v>
      </c>
      <c r="C33" s="1" t="s">
        <v>1800</v>
      </c>
      <c r="D33" s="17"/>
    </row>
    <row r="34" spans="1:4" ht="15" customHeight="1" x14ac:dyDescent="0.15">
      <c r="A34" s="1">
        <v>28</v>
      </c>
      <c r="B34" s="2" t="s">
        <v>472</v>
      </c>
      <c r="C34" s="1" t="s">
        <v>1801</v>
      </c>
      <c r="D34" s="17"/>
    </row>
    <row r="35" spans="1:4" ht="15" customHeight="1" x14ac:dyDescent="0.15">
      <c r="A35" s="1">
        <v>29</v>
      </c>
      <c r="B35" s="2" t="s">
        <v>0</v>
      </c>
      <c r="C35" s="1" t="s">
        <v>1802</v>
      </c>
      <c r="D35" s="17"/>
    </row>
    <row r="36" spans="1:4" ht="15" customHeight="1" x14ac:dyDescent="0.15">
      <c r="A36" s="1">
        <v>30</v>
      </c>
      <c r="B36" s="2" t="s">
        <v>517</v>
      </c>
      <c r="C36" s="1" t="s">
        <v>1803</v>
      </c>
      <c r="D36" s="17"/>
    </row>
    <row r="37" spans="1:4" ht="15" customHeight="1" x14ac:dyDescent="0.15">
      <c r="A37" s="1">
        <v>31</v>
      </c>
      <c r="B37" s="2" t="s">
        <v>32</v>
      </c>
      <c r="C37" s="1" t="s">
        <v>1804</v>
      </c>
      <c r="D37" s="17"/>
    </row>
    <row r="38" spans="1:4" ht="15" customHeight="1" x14ac:dyDescent="0.15">
      <c r="A38" s="1">
        <v>32</v>
      </c>
      <c r="B38" s="2" t="s">
        <v>1159</v>
      </c>
      <c r="C38" s="1" t="s">
        <v>2011</v>
      </c>
      <c r="D38" s="17"/>
    </row>
    <row r="39" spans="1:4" ht="15" customHeight="1" x14ac:dyDescent="0.15">
      <c r="A39" s="1">
        <v>33</v>
      </c>
      <c r="B39" s="2" t="s">
        <v>1767</v>
      </c>
      <c r="C39" s="1" t="s">
        <v>1805</v>
      </c>
      <c r="D39" s="17"/>
    </row>
    <row r="40" spans="1:4" ht="15" customHeight="1" x14ac:dyDescent="0.15">
      <c r="A40" s="1">
        <v>34</v>
      </c>
      <c r="B40" s="2" t="s">
        <v>495</v>
      </c>
      <c r="C40" s="1" t="s">
        <v>1806</v>
      </c>
      <c r="D40" s="17"/>
    </row>
    <row r="41" spans="1:4" ht="15" customHeight="1" x14ac:dyDescent="0.15">
      <c r="A41" s="1">
        <v>35</v>
      </c>
      <c r="B41" s="2" t="s">
        <v>769</v>
      </c>
      <c r="C41" s="1" t="s">
        <v>1807</v>
      </c>
      <c r="D41" s="17"/>
    </row>
    <row r="42" spans="1:4" ht="15" customHeight="1" x14ac:dyDescent="0.15">
      <c r="A42" s="1">
        <v>36</v>
      </c>
      <c r="B42" s="2" t="s">
        <v>768</v>
      </c>
      <c r="C42" s="1" t="s">
        <v>1808</v>
      </c>
      <c r="D42" s="17"/>
    </row>
    <row r="43" spans="1:4" ht="15" customHeight="1" x14ac:dyDescent="0.15">
      <c r="A43" s="1">
        <v>37</v>
      </c>
      <c r="B43" s="2" t="s">
        <v>279</v>
      </c>
      <c r="C43" s="1" t="s">
        <v>1809</v>
      </c>
      <c r="D43" s="17"/>
    </row>
    <row r="44" spans="1:4" ht="15" customHeight="1" x14ac:dyDescent="0.15">
      <c r="A44" s="1">
        <v>38</v>
      </c>
      <c r="B44" s="2" t="s">
        <v>934</v>
      </c>
      <c r="C44" s="1" t="s">
        <v>1810</v>
      </c>
      <c r="D44" s="17"/>
    </row>
    <row r="45" spans="1:4" ht="15" customHeight="1" x14ac:dyDescent="0.15">
      <c r="A45" s="1">
        <v>39</v>
      </c>
      <c r="B45" s="2" t="s">
        <v>187</v>
      </c>
      <c r="C45" s="1" t="s">
        <v>1811</v>
      </c>
      <c r="D45" s="17"/>
    </row>
    <row r="46" spans="1:4" ht="15" customHeight="1" x14ac:dyDescent="0.15">
      <c r="A46" s="1">
        <v>40</v>
      </c>
      <c r="B46" s="2" t="s">
        <v>260</v>
      </c>
      <c r="C46" s="1" t="s">
        <v>1812</v>
      </c>
      <c r="D46" s="17"/>
    </row>
    <row r="47" spans="1:4" ht="15" customHeight="1" x14ac:dyDescent="0.15">
      <c r="A47" s="1">
        <v>41</v>
      </c>
      <c r="B47" s="2" t="s">
        <v>316</v>
      </c>
      <c r="C47" s="1" t="s">
        <v>1813</v>
      </c>
      <c r="D47" s="17"/>
    </row>
    <row r="48" spans="1:4" ht="15" customHeight="1" x14ac:dyDescent="0.15">
      <c r="A48" s="1">
        <v>42</v>
      </c>
      <c r="B48" s="2" t="s">
        <v>794</v>
      </c>
      <c r="C48" s="1" t="s">
        <v>1814</v>
      </c>
      <c r="D48" s="17"/>
    </row>
    <row r="49" spans="1:4" ht="15" customHeight="1" x14ac:dyDescent="0.15">
      <c r="A49" s="1">
        <v>43</v>
      </c>
      <c r="B49" s="2" t="s">
        <v>183</v>
      </c>
      <c r="C49" s="1" t="s">
        <v>1815</v>
      </c>
      <c r="D49" s="17"/>
    </row>
    <row r="50" spans="1:4" ht="15" customHeight="1" x14ac:dyDescent="0.15">
      <c r="A50" s="1">
        <v>44</v>
      </c>
      <c r="B50" s="2" t="s">
        <v>307</v>
      </c>
      <c r="C50" s="1" t="s">
        <v>1816</v>
      </c>
      <c r="D50" s="17"/>
    </row>
    <row r="51" spans="1:4" ht="15" customHeight="1" x14ac:dyDescent="0.15">
      <c r="A51" s="1">
        <v>45</v>
      </c>
      <c r="B51" s="2" t="s">
        <v>657</v>
      </c>
      <c r="C51" s="1" t="s">
        <v>1817</v>
      </c>
      <c r="D51" s="17"/>
    </row>
    <row r="52" spans="1:4" ht="15" customHeight="1" x14ac:dyDescent="0.15">
      <c r="A52" s="1">
        <v>46</v>
      </c>
      <c r="B52" s="2" t="s">
        <v>290</v>
      </c>
      <c r="C52" s="1" t="s">
        <v>1818</v>
      </c>
      <c r="D52" s="17"/>
    </row>
    <row r="53" spans="1:4" ht="15" customHeight="1" x14ac:dyDescent="0.15">
      <c r="A53" s="1">
        <v>47</v>
      </c>
      <c r="B53" s="2" t="s">
        <v>1768</v>
      </c>
      <c r="C53" s="1" t="s">
        <v>1819</v>
      </c>
      <c r="D53" s="17"/>
    </row>
    <row r="54" spans="1:4" ht="15" customHeight="1" x14ac:dyDescent="0.15">
      <c r="A54" s="1">
        <v>48</v>
      </c>
      <c r="B54" s="2" t="s">
        <v>31</v>
      </c>
      <c r="C54" s="1" t="s">
        <v>1820</v>
      </c>
      <c r="D54" s="17"/>
    </row>
    <row r="55" spans="1:4" ht="15" customHeight="1" x14ac:dyDescent="0.15">
      <c r="A55" s="1">
        <v>49</v>
      </c>
      <c r="B55" s="2" t="s">
        <v>3</v>
      </c>
      <c r="C55" s="1" t="s">
        <v>1821</v>
      </c>
      <c r="D55" s="17"/>
    </row>
    <row r="56" spans="1:4" ht="15" customHeight="1" x14ac:dyDescent="0.15">
      <c r="A56" s="1">
        <v>50</v>
      </c>
      <c r="B56" s="2" t="s">
        <v>6</v>
      </c>
      <c r="C56" s="1" t="s">
        <v>1822</v>
      </c>
      <c r="D56" s="17"/>
    </row>
    <row r="57" spans="1:4" ht="15" customHeight="1" x14ac:dyDescent="0.15">
      <c r="A57" s="1">
        <v>51</v>
      </c>
      <c r="B57" s="2" t="s">
        <v>931</v>
      </c>
      <c r="C57" s="1" t="s">
        <v>1823</v>
      </c>
      <c r="D57" s="17"/>
    </row>
    <row r="58" spans="1:4" ht="15" customHeight="1" x14ac:dyDescent="0.15">
      <c r="A58" s="1">
        <v>52</v>
      </c>
      <c r="B58" s="2" t="s">
        <v>44</v>
      </c>
      <c r="C58" s="1" t="s">
        <v>1824</v>
      </c>
      <c r="D58" s="17"/>
    </row>
    <row r="59" spans="1:4" ht="15" customHeight="1" x14ac:dyDescent="0.15">
      <c r="A59" s="1">
        <v>53</v>
      </c>
      <c r="B59" s="2" t="s">
        <v>41</v>
      </c>
      <c r="C59" s="1" t="s">
        <v>1825</v>
      </c>
      <c r="D59" s="17"/>
    </row>
    <row r="60" spans="1:4" ht="15" customHeight="1" x14ac:dyDescent="0.15">
      <c r="A60" s="1">
        <v>54</v>
      </c>
      <c r="B60" s="2" t="s">
        <v>111</v>
      </c>
      <c r="C60" s="1" t="s">
        <v>2014</v>
      </c>
      <c r="D60" s="17"/>
    </row>
    <row r="61" spans="1:4" ht="15" customHeight="1" x14ac:dyDescent="0.15">
      <c r="A61" s="1">
        <v>55</v>
      </c>
      <c r="B61" s="2" t="s">
        <v>15</v>
      </c>
      <c r="C61" s="1" t="s">
        <v>1826</v>
      </c>
      <c r="D61" s="17"/>
    </row>
    <row r="62" spans="1:4" ht="15" customHeight="1" x14ac:dyDescent="0.15">
      <c r="A62" s="1">
        <v>56</v>
      </c>
      <c r="B62" s="2" t="s">
        <v>1723</v>
      </c>
      <c r="C62" s="1" t="s">
        <v>1827</v>
      </c>
      <c r="D62" s="17"/>
    </row>
    <row r="63" spans="1:4" ht="15" customHeight="1" x14ac:dyDescent="0.15">
      <c r="A63" s="1">
        <v>57</v>
      </c>
      <c r="B63" s="2" t="s">
        <v>23</v>
      </c>
      <c r="C63" s="1" t="s">
        <v>1828</v>
      </c>
      <c r="D63" s="17"/>
    </row>
    <row r="64" spans="1:4" ht="15" customHeight="1" x14ac:dyDescent="0.15">
      <c r="A64" s="1">
        <v>58</v>
      </c>
      <c r="B64" s="2" t="s">
        <v>518</v>
      </c>
      <c r="C64" s="1" t="s">
        <v>1829</v>
      </c>
      <c r="D64" s="17"/>
    </row>
    <row r="65" spans="1:4" ht="15" customHeight="1" x14ac:dyDescent="0.15">
      <c r="A65" s="1">
        <v>59</v>
      </c>
      <c r="B65" s="2" t="s">
        <v>793</v>
      </c>
      <c r="C65" s="1" t="s">
        <v>1830</v>
      </c>
      <c r="D65" s="17"/>
    </row>
    <row r="66" spans="1:4" ht="15" customHeight="1" x14ac:dyDescent="0.15">
      <c r="A66" s="1">
        <v>60</v>
      </c>
      <c r="B66" s="2" t="s">
        <v>609</v>
      </c>
      <c r="C66" s="1" t="s">
        <v>1831</v>
      </c>
      <c r="D66" s="17"/>
    </row>
    <row r="67" spans="1:4" ht="15" customHeight="1" x14ac:dyDescent="0.15">
      <c r="A67" s="1">
        <v>61</v>
      </c>
      <c r="B67" s="2" t="s">
        <v>607</v>
      </c>
      <c r="C67" s="1" t="s">
        <v>1832</v>
      </c>
      <c r="D67" s="17"/>
    </row>
    <row r="68" spans="1:4" ht="15" customHeight="1" x14ac:dyDescent="0.15">
      <c r="A68" s="1">
        <v>62</v>
      </c>
      <c r="B68" s="2" t="s">
        <v>5</v>
      </c>
      <c r="C68" s="1" t="s">
        <v>1833</v>
      </c>
      <c r="D68" s="17"/>
    </row>
    <row r="69" spans="1:4" ht="15" customHeight="1" x14ac:dyDescent="0.15">
      <c r="A69" s="1">
        <v>63</v>
      </c>
      <c r="B69" s="2" t="s">
        <v>9</v>
      </c>
      <c r="C69" s="1" t="s">
        <v>1834</v>
      </c>
      <c r="D69" s="17"/>
    </row>
    <row r="70" spans="1:4" ht="15" customHeight="1" x14ac:dyDescent="0.15">
      <c r="A70" s="1">
        <v>64</v>
      </c>
      <c r="B70" s="2" t="s">
        <v>938</v>
      </c>
      <c r="C70" s="1" t="s">
        <v>273</v>
      </c>
      <c r="D70" s="17"/>
    </row>
    <row r="71" spans="1:4" ht="15" customHeight="1" x14ac:dyDescent="0.15">
      <c r="A71" s="1">
        <v>65</v>
      </c>
      <c r="B71" s="2" t="s">
        <v>33</v>
      </c>
      <c r="C71" s="1" t="s">
        <v>1835</v>
      </c>
      <c r="D71" s="17"/>
    </row>
    <row r="72" spans="1:4" ht="15" customHeight="1" x14ac:dyDescent="0.15">
      <c r="A72" s="1">
        <v>66</v>
      </c>
      <c r="B72" s="2" t="s">
        <v>1666</v>
      </c>
      <c r="C72" s="1" t="s">
        <v>1836</v>
      </c>
      <c r="D72" s="17"/>
    </row>
    <row r="73" spans="1:4" ht="15" customHeight="1" x14ac:dyDescent="0.15">
      <c r="A73" s="1">
        <v>67</v>
      </c>
      <c r="B73" s="2" t="s">
        <v>277</v>
      </c>
      <c r="C73" s="1" t="s">
        <v>1837</v>
      </c>
      <c r="D73" s="17"/>
    </row>
    <row r="74" spans="1:4" ht="15" customHeight="1" x14ac:dyDescent="0.15">
      <c r="A74" s="1">
        <v>68</v>
      </c>
      <c r="B74" s="2" t="s">
        <v>623</v>
      </c>
      <c r="C74" s="1" t="s">
        <v>1838</v>
      </c>
      <c r="D74" s="17"/>
    </row>
    <row r="75" spans="1:4" ht="15" customHeight="1" x14ac:dyDescent="0.15">
      <c r="A75" s="1">
        <v>69</v>
      </c>
      <c r="B75" s="2" t="s">
        <v>633</v>
      </c>
      <c r="C75" s="1" t="s">
        <v>1839</v>
      </c>
      <c r="D75" s="17"/>
    </row>
    <row r="76" spans="1:4" ht="15" customHeight="1" x14ac:dyDescent="0.15">
      <c r="A76" s="1">
        <v>70</v>
      </c>
      <c r="B76" s="2" t="s">
        <v>278</v>
      </c>
      <c r="C76" s="1" t="s">
        <v>2012</v>
      </c>
      <c r="D76" s="17"/>
    </row>
    <row r="77" spans="1:4" ht="15" customHeight="1" x14ac:dyDescent="0.15">
      <c r="A77" s="1">
        <v>71</v>
      </c>
      <c r="B77" s="2" t="s">
        <v>104</v>
      </c>
      <c r="C77" s="1" t="s">
        <v>1782</v>
      </c>
      <c r="D77" s="17"/>
    </row>
    <row r="78" spans="1:4" ht="15" customHeight="1" x14ac:dyDescent="0.15">
      <c r="A78" s="1">
        <v>72</v>
      </c>
      <c r="B78" s="2" t="s">
        <v>10</v>
      </c>
      <c r="C78" s="1" t="s">
        <v>1840</v>
      </c>
      <c r="D78" s="17"/>
    </row>
    <row r="79" spans="1:4" ht="15" customHeight="1" x14ac:dyDescent="0.15">
      <c r="A79" s="1">
        <v>73</v>
      </c>
      <c r="B79" s="2" t="s">
        <v>806</v>
      </c>
      <c r="C79" s="1" t="s">
        <v>1841</v>
      </c>
      <c r="D79" s="17"/>
    </row>
    <row r="80" spans="1:4" ht="15" customHeight="1" x14ac:dyDescent="0.15">
      <c r="A80" s="1">
        <v>74</v>
      </c>
      <c r="B80" s="2" t="s">
        <v>807</v>
      </c>
      <c r="C80" s="1" t="s">
        <v>1842</v>
      </c>
      <c r="D80" s="17"/>
    </row>
    <row r="81" spans="1:4" ht="15" customHeight="1" x14ac:dyDescent="0.15">
      <c r="A81" s="1">
        <v>75</v>
      </c>
      <c r="B81" s="2" t="s">
        <v>20</v>
      </c>
      <c r="C81" s="1" t="s">
        <v>1843</v>
      </c>
      <c r="D81" s="17"/>
    </row>
    <row r="82" spans="1:4" ht="15" customHeight="1" x14ac:dyDescent="0.15">
      <c r="A82" s="1">
        <v>76</v>
      </c>
      <c r="B82" s="2" t="s">
        <v>475</v>
      </c>
      <c r="C82" s="1" t="s">
        <v>1844</v>
      </c>
      <c r="D82" s="17"/>
    </row>
    <row r="83" spans="1:4" ht="15" customHeight="1" x14ac:dyDescent="0.15">
      <c r="A83" s="1">
        <v>77</v>
      </c>
      <c r="B83" s="2" t="s">
        <v>707</v>
      </c>
      <c r="C83" s="1" t="s">
        <v>1845</v>
      </c>
      <c r="D83" s="17"/>
    </row>
    <row r="84" spans="1:4" ht="15" customHeight="1" x14ac:dyDescent="0.15">
      <c r="A84" s="1">
        <v>78</v>
      </c>
      <c r="B84" s="2" t="s">
        <v>264</v>
      </c>
      <c r="C84" s="1" t="s">
        <v>1846</v>
      </c>
      <c r="D84" s="17"/>
    </row>
    <row r="85" spans="1:4" ht="15" customHeight="1" x14ac:dyDescent="0.15">
      <c r="A85" s="1">
        <v>79</v>
      </c>
      <c r="B85" s="2" t="s">
        <v>139</v>
      </c>
      <c r="C85" s="1" t="s">
        <v>1847</v>
      </c>
      <c r="D85" s="17"/>
    </row>
    <row r="86" spans="1:4" ht="15" customHeight="1" x14ac:dyDescent="0.15">
      <c r="A86" s="1">
        <v>80</v>
      </c>
      <c r="B86" s="2" t="s">
        <v>1663</v>
      </c>
      <c r="C86" s="1" t="s">
        <v>1848</v>
      </c>
      <c r="D86" s="17"/>
    </row>
    <row r="87" spans="1:4" ht="15" customHeight="1" x14ac:dyDescent="0.15">
      <c r="A87" s="1">
        <v>81</v>
      </c>
      <c r="B87" s="2" t="s">
        <v>933</v>
      </c>
      <c r="C87" s="1" t="s">
        <v>1849</v>
      </c>
      <c r="D87" s="17"/>
    </row>
    <row r="88" spans="1:4" ht="15" customHeight="1" x14ac:dyDescent="0.15">
      <c r="A88" s="1">
        <v>82</v>
      </c>
      <c r="B88" s="2" t="s">
        <v>935</v>
      </c>
      <c r="C88" s="1" t="s">
        <v>1850</v>
      </c>
      <c r="D88" s="17"/>
    </row>
    <row r="89" spans="1:4" ht="15" customHeight="1" x14ac:dyDescent="0.15">
      <c r="A89" s="1">
        <v>83</v>
      </c>
      <c r="B89" s="2" t="s">
        <v>28</v>
      </c>
      <c r="C89" s="1" t="s">
        <v>1851</v>
      </c>
      <c r="D89" s="17"/>
    </row>
    <row r="90" spans="1:4" ht="15" customHeight="1" x14ac:dyDescent="0.15">
      <c r="A90" s="1">
        <v>84</v>
      </c>
      <c r="B90" s="2" t="s">
        <v>1585</v>
      </c>
      <c r="C90" s="1" t="s">
        <v>1852</v>
      </c>
      <c r="D90" s="17"/>
    </row>
    <row r="91" spans="1:4" ht="15" customHeight="1" x14ac:dyDescent="0.15">
      <c r="A91" s="1">
        <v>85</v>
      </c>
      <c r="B91" s="2" t="s">
        <v>1584</v>
      </c>
      <c r="C91" s="1" t="s">
        <v>1853</v>
      </c>
      <c r="D91" s="17"/>
    </row>
    <row r="92" spans="1:4" ht="15" customHeight="1" x14ac:dyDescent="0.15">
      <c r="A92" s="1">
        <v>86</v>
      </c>
      <c r="B92" s="2" t="s">
        <v>261</v>
      </c>
      <c r="C92" s="1" t="s">
        <v>1854</v>
      </c>
      <c r="D92" s="17"/>
    </row>
    <row r="93" spans="1:4" ht="15" customHeight="1" x14ac:dyDescent="0.15">
      <c r="A93" s="1">
        <v>87</v>
      </c>
      <c r="B93" s="2" t="s">
        <v>318</v>
      </c>
      <c r="C93" s="1" t="s">
        <v>1855</v>
      </c>
      <c r="D93" s="17"/>
    </row>
    <row r="94" spans="1:4" ht="15" customHeight="1" x14ac:dyDescent="0.15">
      <c r="A94" s="1">
        <v>88</v>
      </c>
      <c r="B94" s="2" t="s">
        <v>720</v>
      </c>
      <c r="C94" s="1" t="s">
        <v>1856</v>
      </c>
      <c r="D94" s="17"/>
    </row>
    <row r="95" spans="1:4" ht="15" customHeight="1" x14ac:dyDescent="0.15">
      <c r="A95" s="1">
        <v>89</v>
      </c>
      <c r="B95" s="2" t="s">
        <v>1148</v>
      </c>
      <c r="C95" s="1" t="s">
        <v>1857</v>
      </c>
      <c r="D95" s="17"/>
    </row>
    <row r="96" spans="1:4" ht="15" customHeight="1" x14ac:dyDescent="0.15">
      <c r="A96" s="1">
        <v>90</v>
      </c>
      <c r="B96" s="2" t="s">
        <v>284</v>
      </c>
      <c r="C96" s="1" t="s">
        <v>1858</v>
      </c>
      <c r="D96" s="17"/>
    </row>
    <row r="97" spans="1:4" ht="15" customHeight="1" x14ac:dyDescent="0.15">
      <c r="A97" s="1">
        <v>91</v>
      </c>
      <c r="B97" s="2" t="s">
        <v>270</v>
      </c>
      <c r="C97" s="1" t="s">
        <v>1859</v>
      </c>
      <c r="D97" s="17"/>
    </row>
    <row r="98" spans="1:4" ht="15" customHeight="1" x14ac:dyDescent="0.15">
      <c r="A98" s="1">
        <v>92</v>
      </c>
      <c r="B98" s="2" t="s">
        <v>932</v>
      </c>
      <c r="C98" s="1" t="s">
        <v>1860</v>
      </c>
      <c r="D98" s="17"/>
    </row>
    <row r="99" spans="1:4" ht="15" customHeight="1" x14ac:dyDescent="0.15">
      <c r="A99" s="1">
        <v>93</v>
      </c>
      <c r="B99" s="2" t="s">
        <v>193</v>
      </c>
      <c r="C99" s="1" t="s">
        <v>1861</v>
      </c>
      <c r="D99" s="17"/>
    </row>
    <row r="100" spans="1:4" ht="15" customHeight="1" x14ac:dyDescent="0.15">
      <c r="A100" s="1">
        <v>94</v>
      </c>
      <c r="B100" s="2" t="s">
        <v>34</v>
      </c>
      <c r="C100" s="1" t="s">
        <v>34</v>
      </c>
      <c r="D100" s="17"/>
    </row>
    <row r="101" spans="1:4" ht="15" customHeight="1" x14ac:dyDescent="0.15">
      <c r="A101" s="1">
        <v>95</v>
      </c>
      <c r="B101" s="2" t="s">
        <v>470</v>
      </c>
      <c r="C101" s="1" t="s">
        <v>1862</v>
      </c>
      <c r="D101" s="17"/>
    </row>
    <row r="102" spans="1:4" ht="15" customHeight="1" x14ac:dyDescent="0.15">
      <c r="A102" s="1">
        <v>96</v>
      </c>
      <c r="B102" s="2" t="s">
        <v>179</v>
      </c>
      <c r="C102" s="1" t="s">
        <v>1863</v>
      </c>
      <c r="D102" s="17"/>
    </row>
    <row r="103" spans="1:4" ht="15" customHeight="1" x14ac:dyDescent="0.15">
      <c r="A103" s="1">
        <v>97</v>
      </c>
      <c r="B103" s="2" t="s">
        <v>250</v>
      </c>
      <c r="C103" s="1" t="s">
        <v>1864</v>
      </c>
      <c r="D103" s="17"/>
    </row>
    <row r="104" spans="1:4" ht="15" customHeight="1" x14ac:dyDescent="0.15">
      <c r="A104" s="1">
        <v>98</v>
      </c>
      <c r="B104" s="2" t="s">
        <v>723</v>
      </c>
      <c r="C104" s="1" t="s">
        <v>1865</v>
      </c>
      <c r="D104" s="17"/>
    </row>
    <row r="105" spans="1:4" ht="15" customHeight="1" x14ac:dyDescent="0.15">
      <c r="A105" s="1">
        <v>99</v>
      </c>
      <c r="B105" s="2" t="s">
        <v>7</v>
      </c>
      <c r="C105" s="1" t="s">
        <v>1866</v>
      </c>
      <c r="D105" s="17"/>
    </row>
    <row r="106" spans="1:4" ht="15" customHeight="1" x14ac:dyDescent="0.15">
      <c r="A106" s="1">
        <v>100</v>
      </c>
      <c r="B106" s="2" t="s">
        <v>14</v>
      </c>
      <c r="C106" s="1" t="s">
        <v>1867</v>
      </c>
      <c r="D106" s="17"/>
    </row>
    <row r="107" spans="1:4" ht="15" customHeight="1" x14ac:dyDescent="0.15">
      <c r="A107" s="1">
        <v>101</v>
      </c>
      <c r="B107" s="2" t="s">
        <v>294</v>
      </c>
      <c r="C107" s="1" t="s">
        <v>1868</v>
      </c>
      <c r="D107" s="17"/>
    </row>
    <row r="108" spans="1:4" ht="15" customHeight="1" x14ac:dyDescent="0.15">
      <c r="A108" s="1">
        <v>102</v>
      </c>
      <c r="B108" s="2" t="s">
        <v>303</v>
      </c>
      <c r="C108" s="1" t="s">
        <v>1869</v>
      </c>
      <c r="D108" s="17"/>
    </row>
    <row r="109" spans="1:4" ht="15" customHeight="1" x14ac:dyDescent="0.15">
      <c r="A109" s="1">
        <v>103</v>
      </c>
      <c r="B109" s="2" t="s">
        <v>201</v>
      </c>
      <c r="C109" s="1" t="s">
        <v>1870</v>
      </c>
      <c r="D109" s="17"/>
    </row>
    <row r="110" spans="1:4" ht="15" customHeight="1" x14ac:dyDescent="0.15">
      <c r="A110" s="1">
        <v>104</v>
      </c>
      <c r="B110" s="2" t="s">
        <v>42</v>
      </c>
      <c r="C110" s="1" t="s">
        <v>1871</v>
      </c>
      <c r="D110" s="17"/>
    </row>
    <row r="111" spans="1:4" ht="15" customHeight="1" x14ac:dyDescent="0.15">
      <c r="A111" s="1">
        <v>105</v>
      </c>
      <c r="B111" s="2" t="s">
        <v>1</v>
      </c>
      <c r="C111" s="1" t="s">
        <v>1872</v>
      </c>
      <c r="D111" s="17"/>
    </row>
    <row r="112" spans="1:4" ht="15" customHeight="1" x14ac:dyDescent="0.15">
      <c r="A112" s="1">
        <v>106</v>
      </c>
      <c r="B112" s="2" t="s">
        <v>184</v>
      </c>
      <c r="C112" s="1" t="s">
        <v>1873</v>
      </c>
      <c r="D112" s="17"/>
    </row>
    <row r="113" spans="1:4" ht="15" customHeight="1" x14ac:dyDescent="0.15">
      <c r="A113" s="1">
        <v>107</v>
      </c>
      <c r="B113" s="2" t="s">
        <v>510</v>
      </c>
      <c r="C113" s="1" t="s">
        <v>1874</v>
      </c>
      <c r="D113" s="17"/>
    </row>
    <row r="114" spans="1:4" ht="15" customHeight="1" x14ac:dyDescent="0.15">
      <c r="A114" s="1">
        <v>108</v>
      </c>
      <c r="B114" s="2" t="s">
        <v>1726</v>
      </c>
      <c r="C114" s="1" t="s">
        <v>1875</v>
      </c>
      <c r="D114" s="17"/>
    </row>
    <row r="115" spans="1:4" ht="15" customHeight="1" x14ac:dyDescent="0.15">
      <c r="A115" s="1">
        <v>109</v>
      </c>
      <c r="B115" s="2" t="s">
        <v>244</v>
      </c>
      <c r="C115" s="1" t="s">
        <v>1876</v>
      </c>
      <c r="D115" s="17"/>
    </row>
    <row r="116" spans="1:4" ht="15" customHeight="1" x14ac:dyDescent="0.15">
      <c r="A116" s="1">
        <v>110</v>
      </c>
      <c r="B116" s="2" t="s">
        <v>1664</v>
      </c>
      <c r="C116" s="1" t="s">
        <v>1664</v>
      </c>
      <c r="D116" s="17"/>
    </row>
    <row r="117" spans="1:4" ht="15" customHeight="1" x14ac:dyDescent="0.15">
      <c r="A117" s="1">
        <v>111</v>
      </c>
      <c r="B117" s="2" t="s">
        <v>660</v>
      </c>
      <c r="C117" s="1" t="s">
        <v>1877</v>
      </c>
      <c r="D117" s="17"/>
    </row>
    <row r="118" spans="1:4" ht="15" customHeight="1" x14ac:dyDescent="0.15">
      <c r="A118" s="1">
        <v>112</v>
      </c>
      <c r="B118" s="2" t="s">
        <v>13</v>
      </c>
      <c r="C118" s="1" t="s">
        <v>1878</v>
      </c>
      <c r="D118" s="17"/>
    </row>
    <row r="119" spans="1:4" ht="15" customHeight="1" x14ac:dyDescent="0.15">
      <c r="A119" s="1">
        <v>113</v>
      </c>
      <c r="B119" s="2" t="s">
        <v>39</v>
      </c>
      <c r="C119" s="1" t="s">
        <v>1879</v>
      </c>
      <c r="D119" s="17"/>
    </row>
    <row r="120" spans="1:4" ht="15" customHeight="1" x14ac:dyDescent="0.15">
      <c r="A120" s="1">
        <v>114</v>
      </c>
      <c r="B120" s="2" t="s">
        <v>30</v>
      </c>
      <c r="C120" s="1" t="s">
        <v>1880</v>
      </c>
      <c r="D120" s="17"/>
    </row>
    <row r="121" spans="1:4" ht="15" customHeight="1" x14ac:dyDescent="0.15">
      <c r="A121" s="1">
        <v>115</v>
      </c>
      <c r="B121" s="2" t="s">
        <v>324</v>
      </c>
      <c r="C121" s="1" t="s">
        <v>324</v>
      </c>
      <c r="D121" s="17"/>
    </row>
    <row r="122" spans="1:4" ht="15" customHeight="1" x14ac:dyDescent="0.15">
      <c r="A122" s="1">
        <v>116</v>
      </c>
      <c r="B122" s="2" t="s">
        <v>333</v>
      </c>
      <c r="C122" s="1" t="s">
        <v>1881</v>
      </c>
      <c r="D122" s="17"/>
    </row>
    <row r="123" spans="1:4" ht="15" customHeight="1" x14ac:dyDescent="0.15">
      <c r="A123" s="1">
        <v>117</v>
      </c>
      <c r="B123" s="2" t="s">
        <v>477</v>
      </c>
      <c r="C123" s="1" t="s">
        <v>1882</v>
      </c>
      <c r="D123" s="17"/>
    </row>
    <row r="124" spans="1:4" ht="15" customHeight="1" x14ac:dyDescent="0.15">
      <c r="A124" s="1">
        <v>118</v>
      </c>
      <c r="B124" s="2" t="s">
        <v>182</v>
      </c>
      <c r="C124" s="1" t="s">
        <v>1883</v>
      </c>
      <c r="D124" s="17"/>
    </row>
    <row r="125" spans="1:4" ht="15" customHeight="1" x14ac:dyDescent="0.15">
      <c r="A125" s="1">
        <v>119</v>
      </c>
      <c r="B125" s="2" t="s">
        <v>295</v>
      </c>
      <c r="C125" s="1" t="s">
        <v>1884</v>
      </c>
      <c r="D125" s="17"/>
    </row>
    <row r="126" spans="1:4" ht="15" customHeight="1" x14ac:dyDescent="0.15">
      <c r="A126" s="1">
        <v>120</v>
      </c>
      <c r="B126" s="2" t="s">
        <v>606</v>
      </c>
      <c r="C126" s="1" t="s">
        <v>1885</v>
      </c>
      <c r="D126" s="17"/>
    </row>
    <row r="127" spans="1:4" ht="15" customHeight="1" x14ac:dyDescent="0.15">
      <c r="A127" s="1">
        <v>121</v>
      </c>
      <c r="B127" s="2" t="s">
        <v>608</v>
      </c>
      <c r="C127" s="1" t="s">
        <v>1886</v>
      </c>
      <c r="D127" s="17"/>
    </row>
    <row r="128" spans="1:4" ht="15" customHeight="1" x14ac:dyDescent="0.15">
      <c r="A128" s="1">
        <v>122</v>
      </c>
      <c r="B128" s="2" t="s">
        <v>478</v>
      </c>
      <c r="C128" s="1" t="s">
        <v>2020</v>
      </c>
      <c r="D128" s="17"/>
    </row>
    <row r="129" spans="1:4" ht="15" customHeight="1" x14ac:dyDescent="0.15">
      <c r="A129" s="1">
        <v>123</v>
      </c>
      <c r="B129" s="2" t="s">
        <v>186</v>
      </c>
      <c r="C129" s="1" t="s">
        <v>1887</v>
      </c>
      <c r="D129" s="17"/>
    </row>
    <row r="130" spans="1:4" ht="15" customHeight="1" x14ac:dyDescent="0.15">
      <c r="A130" s="1">
        <v>124</v>
      </c>
      <c r="B130" s="2" t="s">
        <v>198</v>
      </c>
      <c r="C130" s="1" t="s">
        <v>1888</v>
      </c>
      <c r="D130" s="17"/>
    </row>
    <row r="131" spans="1:4" ht="15" customHeight="1" x14ac:dyDescent="0.15">
      <c r="A131" s="1">
        <v>125</v>
      </c>
      <c r="B131" s="2" t="s">
        <v>45</v>
      </c>
      <c r="C131" s="1" t="s">
        <v>1889</v>
      </c>
      <c r="D131" s="17"/>
    </row>
    <row r="132" spans="1:4" ht="15" customHeight="1" x14ac:dyDescent="0.15">
      <c r="A132" s="1">
        <v>126</v>
      </c>
      <c r="B132" s="2" t="s">
        <v>29</v>
      </c>
      <c r="C132" s="1" t="s">
        <v>1890</v>
      </c>
      <c r="D132" s="17"/>
    </row>
    <row r="133" spans="1:4" ht="15" customHeight="1" x14ac:dyDescent="0.15">
      <c r="A133" s="1">
        <v>127</v>
      </c>
      <c r="B133" s="2" t="s">
        <v>281</v>
      </c>
      <c r="C133" s="1" t="s">
        <v>1891</v>
      </c>
      <c r="D133" s="17"/>
    </row>
    <row r="134" spans="1:4" ht="15" customHeight="1" x14ac:dyDescent="0.15">
      <c r="A134" s="1">
        <v>128</v>
      </c>
      <c r="B134" s="2" t="s">
        <v>101</v>
      </c>
      <c r="C134" s="1" t="s">
        <v>1892</v>
      </c>
      <c r="D134" s="17"/>
    </row>
    <row r="135" spans="1:4" ht="15" customHeight="1" x14ac:dyDescent="0.15">
      <c r="A135" s="1">
        <v>129</v>
      </c>
      <c r="B135" s="2" t="s">
        <v>329</v>
      </c>
      <c r="C135" s="1" t="s">
        <v>1893</v>
      </c>
      <c r="D135" s="17"/>
    </row>
    <row r="136" spans="1:4" ht="15" customHeight="1" x14ac:dyDescent="0.15">
      <c r="A136" s="1">
        <v>130</v>
      </c>
      <c r="B136" s="2" t="s">
        <v>1590</v>
      </c>
      <c r="C136" s="1" t="s">
        <v>1894</v>
      </c>
      <c r="D136" s="17"/>
    </row>
    <row r="137" spans="1:4" ht="15" customHeight="1" x14ac:dyDescent="0.15">
      <c r="A137" s="1">
        <v>131</v>
      </c>
      <c r="B137" s="2" t="s">
        <v>263</v>
      </c>
      <c r="C137" s="1" t="s">
        <v>1895</v>
      </c>
      <c r="D137" s="17"/>
    </row>
    <row r="138" spans="1:4" ht="15" customHeight="1" x14ac:dyDescent="0.15">
      <c r="A138" s="1">
        <v>132</v>
      </c>
      <c r="B138" s="2" t="s">
        <v>109</v>
      </c>
      <c r="C138" s="1" t="s">
        <v>1896</v>
      </c>
      <c r="D138" s="17"/>
    </row>
    <row r="139" spans="1:4" ht="15" customHeight="1" x14ac:dyDescent="0.15">
      <c r="A139" s="1">
        <v>133</v>
      </c>
      <c r="B139" s="2" t="s">
        <v>36</v>
      </c>
      <c r="C139" s="1" t="s">
        <v>465</v>
      </c>
      <c r="D139" s="17"/>
    </row>
    <row r="140" spans="1:4" ht="15" customHeight="1" x14ac:dyDescent="0.15">
      <c r="A140" s="1">
        <v>134</v>
      </c>
      <c r="B140" s="2" t="s">
        <v>4</v>
      </c>
      <c r="C140" s="1" t="s">
        <v>465</v>
      </c>
      <c r="D140" s="17"/>
    </row>
    <row r="141" spans="1:4" ht="15" customHeight="1" x14ac:dyDescent="0.15">
      <c r="A141" s="1">
        <v>135</v>
      </c>
      <c r="B141" s="2" t="s">
        <v>719</v>
      </c>
      <c r="C141" s="1" t="s">
        <v>2010</v>
      </c>
      <c r="D141" s="17"/>
    </row>
    <row r="142" spans="1:4" ht="15" customHeight="1" x14ac:dyDescent="0.15">
      <c r="A142" s="1">
        <v>136</v>
      </c>
      <c r="B142" s="2" t="s">
        <v>1769</v>
      </c>
      <c r="C142" s="1" t="s">
        <v>1897</v>
      </c>
      <c r="D142" s="17"/>
    </row>
    <row r="143" spans="1:4" ht="15" customHeight="1" x14ac:dyDescent="0.15">
      <c r="A143" s="1">
        <v>137</v>
      </c>
      <c r="B143" s="2" t="s">
        <v>496</v>
      </c>
      <c r="C143" s="1" t="s">
        <v>1898</v>
      </c>
      <c r="D143" s="17"/>
    </row>
    <row r="144" spans="1:4" ht="15" customHeight="1" x14ac:dyDescent="0.15">
      <c r="A144" s="1">
        <v>138</v>
      </c>
      <c r="B144" s="2" t="s">
        <v>248</v>
      </c>
      <c r="C144" s="1" t="s">
        <v>1899</v>
      </c>
      <c r="D144" s="17"/>
    </row>
    <row r="145" spans="1:4" ht="15" customHeight="1" x14ac:dyDescent="0.15">
      <c r="A145" s="1">
        <v>139</v>
      </c>
      <c r="B145" s="2" t="s">
        <v>473</v>
      </c>
      <c r="C145" s="1" t="s">
        <v>1900</v>
      </c>
      <c r="D145" s="17"/>
    </row>
    <row r="146" spans="1:4" ht="15" customHeight="1" x14ac:dyDescent="0.15">
      <c r="A146" s="1">
        <v>140</v>
      </c>
      <c r="B146" s="2" t="s">
        <v>820</v>
      </c>
      <c r="C146" s="1" t="s">
        <v>2013</v>
      </c>
      <c r="D146" s="17"/>
    </row>
    <row r="147" spans="1:4" ht="15" customHeight="1" x14ac:dyDescent="0.15">
      <c r="A147" s="1">
        <v>141</v>
      </c>
      <c r="B147" s="2" t="s">
        <v>520</v>
      </c>
      <c r="C147" s="1" t="s">
        <v>1901</v>
      </c>
      <c r="D147" s="17"/>
    </row>
    <row r="148" spans="1:4" ht="15" customHeight="1" x14ac:dyDescent="0.15">
      <c r="A148" s="1">
        <v>142</v>
      </c>
      <c r="B148" s="2" t="s">
        <v>289</v>
      </c>
      <c r="C148" s="1" t="s">
        <v>1902</v>
      </c>
      <c r="D148" s="17"/>
    </row>
    <row r="149" spans="1:4" ht="15" customHeight="1" x14ac:dyDescent="0.15">
      <c r="A149" s="1">
        <v>143</v>
      </c>
      <c r="B149" s="2" t="s">
        <v>288</v>
      </c>
      <c r="C149" s="1" t="s">
        <v>1903</v>
      </c>
      <c r="D149" s="17"/>
    </row>
    <row r="150" spans="1:4" ht="15" customHeight="1" x14ac:dyDescent="0.15">
      <c r="A150" s="1">
        <v>144</v>
      </c>
      <c r="B150" s="2" t="s">
        <v>305</v>
      </c>
      <c r="C150" s="1" t="s">
        <v>1887</v>
      </c>
      <c r="D150" s="17"/>
    </row>
    <row r="151" spans="1:4" ht="15" customHeight="1" x14ac:dyDescent="0.15">
      <c r="A151" s="1">
        <v>145</v>
      </c>
      <c r="B151" s="2" t="s">
        <v>304</v>
      </c>
      <c r="C151" s="1" t="s">
        <v>1904</v>
      </c>
      <c r="D151" s="17"/>
    </row>
    <row r="152" spans="1:4" ht="15" customHeight="1" x14ac:dyDescent="0.15">
      <c r="A152" s="1">
        <v>146</v>
      </c>
      <c r="B152" s="2" t="s">
        <v>474</v>
      </c>
      <c r="C152" s="1" t="s">
        <v>1905</v>
      </c>
      <c r="D152" s="17"/>
    </row>
    <row r="153" spans="1:4" ht="15" customHeight="1" x14ac:dyDescent="0.15">
      <c r="A153" s="1">
        <v>147</v>
      </c>
      <c r="B153" s="2" t="s">
        <v>196</v>
      </c>
      <c r="C153" s="1" t="s">
        <v>1906</v>
      </c>
      <c r="D153" s="17"/>
    </row>
    <row r="154" spans="1:4" ht="15" customHeight="1" x14ac:dyDescent="0.15">
      <c r="A154" s="1">
        <v>148</v>
      </c>
      <c r="B154" s="2" t="s">
        <v>297</v>
      </c>
      <c r="C154" s="1" t="s">
        <v>1907</v>
      </c>
      <c r="D154" s="17"/>
    </row>
    <row r="155" spans="1:4" ht="15" customHeight="1" x14ac:dyDescent="0.15">
      <c r="A155" s="1">
        <v>149</v>
      </c>
      <c r="B155" s="2" t="s">
        <v>285</v>
      </c>
      <c r="C155" s="1" t="s">
        <v>1908</v>
      </c>
      <c r="D155" s="17"/>
    </row>
    <row r="156" spans="1:4" ht="15" customHeight="1" x14ac:dyDescent="0.15">
      <c r="A156" s="1">
        <v>150</v>
      </c>
      <c r="B156" s="2" t="s">
        <v>709</v>
      </c>
      <c r="C156" s="1" t="s">
        <v>1909</v>
      </c>
      <c r="D156" s="17"/>
    </row>
    <row r="157" spans="1:4" ht="15" customHeight="1" x14ac:dyDescent="0.15">
      <c r="A157" s="1">
        <v>151</v>
      </c>
      <c r="B157" s="2" t="s">
        <v>188</v>
      </c>
      <c r="C157" s="1" t="s">
        <v>1910</v>
      </c>
      <c r="D157" s="17"/>
    </row>
    <row r="158" spans="1:4" ht="15" customHeight="1" x14ac:dyDescent="0.15">
      <c r="A158" s="1">
        <v>152</v>
      </c>
      <c r="B158" s="2" t="s">
        <v>315</v>
      </c>
      <c r="C158" s="1" t="s">
        <v>1911</v>
      </c>
      <c r="D158" s="17"/>
    </row>
    <row r="159" spans="1:4" ht="15" customHeight="1" x14ac:dyDescent="0.15">
      <c r="A159" s="1">
        <v>153</v>
      </c>
      <c r="B159" s="2" t="s">
        <v>511</v>
      </c>
      <c r="C159" s="1" t="s">
        <v>1912</v>
      </c>
      <c r="D159" s="17"/>
    </row>
    <row r="160" spans="1:4" ht="15" customHeight="1" x14ac:dyDescent="0.15">
      <c r="A160" s="1">
        <v>154</v>
      </c>
      <c r="B160" s="2" t="s">
        <v>22</v>
      </c>
      <c r="C160" s="1" t="s">
        <v>1913</v>
      </c>
      <c r="D160" s="17"/>
    </row>
    <row r="161" spans="1:4" ht="15" customHeight="1" x14ac:dyDescent="0.15">
      <c r="A161" s="1">
        <v>155</v>
      </c>
      <c r="B161" s="2" t="s">
        <v>755</v>
      </c>
      <c r="C161" s="1" t="s">
        <v>1914</v>
      </c>
      <c r="D161" s="17"/>
    </row>
    <row r="162" spans="1:4" ht="15" customHeight="1" x14ac:dyDescent="0.15">
      <c r="A162" s="1">
        <v>156</v>
      </c>
      <c r="B162" s="2" t="s">
        <v>200</v>
      </c>
      <c r="C162" s="1" t="s">
        <v>2040</v>
      </c>
      <c r="D162" s="17"/>
    </row>
    <row r="163" spans="1:4" ht="15" customHeight="1" x14ac:dyDescent="0.15">
      <c r="A163" s="1">
        <v>157</v>
      </c>
      <c r="B163" s="2" t="s">
        <v>476</v>
      </c>
      <c r="C163" s="1" t="s">
        <v>1915</v>
      </c>
      <c r="D163" s="17"/>
    </row>
    <row r="164" spans="1:4" ht="15" customHeight="1" x14ac:dyDescent="0.15">
      <c r="A164" s="1">
        <v>158</v>
      </c>
      <c r="B164" s="2" t="s">
        <v>659</v>
      </c>
      <c r="C164" s="1" t="s">
        <v>1916</v>
      </c>
      <c r="D164" s="17"/>
    </row>
    <row r="165" spans="1:4" ht="15" customHeight="1" x14ac:dyDescent="0.15">
      <c r="A165" s="1">
        <v>159</v>
      </c>
      <c r="B165" s="2" t="s">
        <v>262</v>
      </c>
      <c r="C165" s="1" t="s">
        <v>1917</v>
      </c>
      <c r="D165" s="17"/>
    </row>
    <row r="166" spans="1:4" ht="15" customHeight="1" x14ac:dyDescent="0.15">
      <c r="A166" s="1">
        <v>160</v>
      </c>
      <c r="B166" s="2" t="s">
        <v>721</v>
      </c>
      <c r="C166" s="1" t="s">
        <v>1918</v>
      </c>
      <c r="D166" s="17"/>
    </row>
    <row r="167" spans="1:4" ht="15" customHeight="1" x14ac:dyDescent="0.15">
      <c r="A167" s="1">
        <v>161</v>
      </c>
      <c r="B167" s="2" t="s">
        <v>180</v>
      </c>
      <c r="C167" s="1" t="s">
        <v>1919</v>
      </c>
      <c r="D167" s="17"/>
    </row>
    <row r="168" spans="1:4" ht="15" customHeight="1" x14ac:dyDescent="0.15">
      <c r="A168" s="1">
        <v>162</v>
      </c>
      <c r="B168" s="2" t="s">
        <v>16</v>
      </c>
      <c r="C168" s="1" t="s">
        <v>1920</v>
      </c>
      <c r="D168" s="17"/>
    </row>
    <row r="169" spans="1:4" ht="15" customHeight="1" x14ac:dyDescent="0.15">
      <c r="A169" s="1">
        <v>163</v>
      </c>
      <c r="B169" s="2" t="s">
        <v>716</v>
      </c>
      <c r="C169" s="1" t="s">
        <v>1921</v>
      </c>
      <c r="D169" s="17"/>
    </row>
    <row r="170" spans="1:4" ht="15" customHeight="1" x14ac:dyDescent="0.15">
      <c r="A170" s="1">
        <v>164</v>
      </c>
      <c r="B170" s="2" t="s">
        <v>317</v>
      </c>
      <c r="C170" s="1" t="s">
        <v>1922</v>
      </c>
      <c r="D170" s="17"/>
    </row>
    <row r="171" spans="1:4" ht="15" customHeight="1" x14ac:dyDescent="0.15">
      <c r="A171" s="1">
        <v>165</v>
      </c>
      <c r="B171" s="2" t="s">
        <v>590</v>
      </c>
      <c r="C171" s="1" t="s">
        <v>1923</v>
      </c>
      <c r="D171" s="17"/>
    </row>
    <row r="172" spans="1:4" ht="15" customHeight="1" x14ac:dyDescent="0.15">
      <c r="A172" s="1">
        <v>166</v>
      </c>
      <c r="B172" s="2" t="s">
        <v>591</v>
      </c>
      <c r="C172" s="1" t="s">
        <v>1924</v>
      </c>
      <c r="D172" s="17"/>
    </row>
    <row r="173" spans="1:4" ht="15" customHeight="1" x14ac:dyDescent="0.15">
      <c r="A173" s="1">
        <v>167</v>
      </c>
      <c r="B173" s="2" t="s">
        <v>242</v>
      </c>
      <c r="C173" s="1" t="s">
        <v>1925</v>
      </c>
      <c r="D173" s="17"/>
    </row>
    <row r="174" spans="1:4" ht="15" customHeight="1" x14ac:dyDescent="0.15">
      <c r="A174" s="1">
        <v>168</v>
      </c>
      <c r="B174" s="2" t="s">
        <v>46</v>
      </c>
      <c r="C174" s="1" t="s">
        <v>1926</v>
      </c>
      <c r="D174" s="17"/>
    </row>
    <row r="175" spans="1:4" ht="15" customHeight="1" x14ac:dyDescent="0.15">
      <c r="A175" s="1">
        <v>169</v>
      </c>
      <c r="B175" s="2" t="s">
        <v>326</v>
      </c>
      <c r="C175" s="1" t="s">
        <v>1927</v>
      </c>
      <c r="D175" s="17"/>
    </row>
    <row r="176" spans="1:4" ht="15" customHeight="1" x14ac:dyDescent="0.15">
      <c r="A176" s="1">
        <v>170</v>
      </c>
      <c r="B176" s="2" t="s">
        <v>622</v>
      </c>
      <c r="C176" s="1" t="s">
        <v>1928</v>
      </c>
      <c r="D176" s="17"/>
    </row>
    <row r="177" spans="1:4" ht="15" customHeight="1" x14ac:dyDescent="0.15">
      <c r="A177" s="1">
        <v>171</v>
      </c>
      <c r="B177" s="2" t="s">
        <v>700</v>
      </c>
      <c r="C177" s="1" t="s">
        <v>1929</v>
      </c>
      <c r="D177" s="17"/>
    </row>
    <row r="178" spans="1:4" ht="15" customHeight="1" x14ac:dyDescent="0.15">
      <c r="A178" s="1">
        <v>172</v>
      </c>
      <c r="B178" s="2" t="s">
        <v>110</v>
      </c>
      <c r="C178" s="1" t="s">
        <v>1800</v>
      </c>
      <c r="D178" s="17"/>
    </row>
    <row r="179" spans="1:4" ht="15" customHeight="1" x14ac:dyDescent="0.15">
      <c r="A179" s="1">
        <v>173</v>
      </c>
      <c r="B179" s="2" t="s">
        <v>2016</v>
      </c>
      <c r="C179" s="1" t="s">
        <v>2017</v>
      </c>
      <c r="D179" s="17"/>
    </row>
    <row r="180" spans="1:4" ht="15" customHeight="1" x14ac:dyDescent="0.15">
      <c r="A180" s="1">
        <v>174</v>
      </c>
      <c r="B180" s="2" t="s">
        <v>11</v>
      </c>
      <c r="C180" s="1" t="s">
        <v>1930</v>
      </c>
      <c r="D180" s="17"/>
    </row>
    <row r="181" spans="1:4" ht="15" customHeight="1" x14ac:dyDescent="0.15">
      <c r="A181" s="1">
        <v>175</v>
      </c>
      <c r="B181" s="2" t="s">
        <v>43</v>
      </c>
      <c r="C181" s="1" t="s">
        <v>1931</v>
      </c>
      <c r="D181" s="17"/>
    </row>
    <row r="182" spans="1:4" ht="15" customHeight="1" x14ac:dyDescent="0.15">
      <c r="A182" s="1">
        <v>176</v>
      </c>
      <c r="B182" s="2" t="s">
        <v>453</v>
      </c>
      <c r="C182" s="1" t="s">
        <v>1932</v>
      </c>
      <c r="D182" s="17"/>
    </row>
    <row r="183" spans="1:4" ht="15" customHeight="1" x14ac:dyDescent="0.15">
      <c r="A183" s="1">
        <v>177</v>
      </c>
      <c r="B183" s="2" t="s">
        <v>8</v>
      </c>
      <c r="C183" s="1" t="s">
        <v>1933</v>
      </c>
      <c r="D183" s="17"/>
    </row>
    <row r="184" spans="1:4" ht="15" customHeight="1" x14ac:dyDescent="0.15">
      <c r="A184" s="1">
        <v>178</v>
      </c>
      <c r="B184" s="2" t="s">
        <v>287</v>
      </c>
      <c r="C184" s="1" t="s">
        <v>1934</v>
      </c>
      <c r="D184" s="17"/>
    </row>
    <row r="185" spans="1:4" ht="15" customHeight="1" x14ac:dyDescent="0.15">
      <c r="A185" s="1">
        <v>179</v>
      </c>
      <c r="B185" s="2" t="s">
        <v>306</v>
      </c>
      <c r="C185" s="1" t="s">
        <v>1935</v>
      </c>
      <c r="D185" s="17"/>
    </row>
    <row r="186" spans="1:4" ht="15" customHeight="1" x14ac:dyDescent="0.15">
      <c r="A186" s="1">
        <v>180</v>
      </c>
      <c r="B186" s="2" t="s">
        <v>1149</v>
      </c>
      <c r="C186" s="1" t="s">
        <v>1936</v>
      </c>
      <c r="D186" s="17"/>
    </row>
    <row r="187" spans="1:4" ht="15" customHeight="1" x14ac:dyDescent="0.15">
      <c r="A187" s="1">
        <v>181</v>
      </c>
      <c r="B187" s="2" t="s">
        <v>2009</v>
      </c>
      <c r="C187" s="1" t="s">
        <v>2034</v>
      </c>
      <c r="D187" s="17"/>
    </row>
    <row r="188" spans="1:4" ht="15" customHeight="1" x14ac:dyDescent="0.15">
      <c r="A188" s="1">
        <v>182</v>
      </c>
      <c r="B188" s="2" t="s">
        <v>701</v>
      </c>
      <c r="C188" s="15" t="s">
        <v>2035</v>
      </c>
      <c r="D188" s="17"/>
    </row>
    <row r="189" spans="1:4" ht="15" customHeight="1" x14ac:dyDescent="0.15">
      <c r="A189" s="1">
        <v>183</v>
      </c>
      <c r="B189" s="2" t="s">
        <v>702</v>
      </c>
      <c r="C189" s="15" t="s">
        <v>2036</v>
      </c>
      <c r="D189" s="17"/>
    </row>
    <row r="190" spans="1:4" ht="15" customHeight="1" x14ac:dyDescent="0.15">
      <c r="A190" s="1">
        <v>184</v>
      </c>
      <c r="B190" s="2" t="s">
        <v>2071</v>
      </c>
      <c r="C190" s="15" t="s">
        <v>2072</v>
      </c>
      <c r="D190" s="17"/>
    </row>
    <row r="191" spans="1:4" ht="15" customHeight="1" x14ac:dyDescent="0.15">
      <c r="A191" s="1" t="s">
        <v>40</v>
      </c>
      <c r="B191" s="2" t="s">
        <v>40</v>
      </c>
      <c r="C191" s="1" t="s">
        <v>40</v>
      </c>
      <c r="D191" s="17"/>
    </row>
    <row r="192" spans="1:4" ht="15" customHeight="1" x14ac:dyDescent="0.15">
      <c r="A192" s="1" t="s">
        <v>1937</v>
      </c>
      <c r="B192" s="2" t="s">
        <v>2023</v>
      </c>
      <c r="C192" s="1" t="s">
        <v>2025</v>
      </c>
      <c r="D192" s="17"/>
    </row>
    <row r="193" spans="1:4" ht="15" customHeight="1" x14ac:dyDescent="0.15">
      <c r="A193" s="1" t="s">
        <v>1940</v>
      </c>
      <c r="B193" s="2" t="s">
        <v>2024</v>
      </c>
      <c r="C193" s="1" t="s">
        <v>2026</v>
      </c>
      <c r="D193" s="17"/>
    </row>
    <row r="194" spans="1:4" ht="15" customHeight="1" x14ac:dyDescent="0.15">
      <c r="A194" s="1" t="s">
        <v>1943</v>
      </c>
      <c r="B194" s="2" t="s">
        <v>1938</v>
      </c>
      <c r="C194" s="1" t="s">
        <v>1939</v>
      </c>
      <c r="D194" s="17"/>
    </row>
    <row r="195" spans="1:4" ht="15" customHeight="1" x14ac:dyDescent="0.15">
      <c r="A195" s="1" t="s">
        <v>1946</v>
      </c>
      <c r="B195" s="2" t="s">
        <v>1941</v>
      </c>
      <c r="C195" s="1" t="s">
        <v>1942</v>
      </c>
      <c r="D195" s="17"/>
    </row>
    <row r="196" spans="1:4" ht="15" customHeight="1" x14ac:dyDescent="0.15">
      <c r="A196" s="1" t="s">
        <v>1948</v>
      </c>
      <c r="B196" s="2" t="s">
        <v>1944</v>
      </c>
      <c r="C196" s="1" t="s">
        <v>1945</v>
      </c>
      <c r="D196" s="17"/>
    </row>
    <row r="197" spans="1:4" ht="15" customHeight="1" x14ac:dyDescent="0.15">
      <c r="A197" s="1" t="s">
        <v>1951</v>
      </c>
      <c r="B197" s="2" t="s">
        <v>1947</v>
      </c>
      <c r="C197" s="1" t="s">
        <v>1942</v>
      </c>
      <c r="D197" s="17"/>
    </row>
    <row r="198" spans="1:4" ht="15" customHeight="1" x14ac:dyDescent="0.15">
      <c r="A198" s="1" t="s">
        <v>1954</v>
      </c>
      <c r="B198" s="2" t="s">
        <v>1949</v>
      </c>
      <c r="C198" s="1" t="s">
        <v>1950</v>
      </c>
      <c r="D198" s="17"/>
    </row>
    <row r="199" spans="1:4" ht="15" customHeight="1" x14ac:dyDescent="0.15">
      <c r="A199" s="1" t="s">
        <v>1957</v>
      </c>
      <c r="B199" s="2" t="s">
        <v>2027</v>
      </c>
      <c r="C199" s="1" t="s">
        <v>2028</v>
      </c>
      <c r="D199" s="17"/>
    </row>
    <row r="200" spans="1:4" ht="15" customHeight="1" x14ac:dyDescent="0.15">
      <c r="A200" s="1" t="s">
        <v>1960</v>
      </c>
      <c r="B200" s="2" t="s">
        <v>1955</v>
      </c>
      <c r="C200" s="1" t="s">
        <v>1956</v>
      </c>
      <c r="D200" s="17"/>
    </row>
    <row r="201" spans="1:4" ht="15" customHeight="1" x14ac:dyDescent="0.15">
      <c r="A201" s="1" t="s">
        <v>1961</v>
      </c>
      <c r="B201" s="2" t="s">
        <v>1958</v>
      </c>
      <c r="C201" s="1" t="s">
        <v>1959</v>
      </c>
      <c r="D201" s="17"/>
    </row>
    <row r="202" spans="1:4" ht="15" customHeight="1" x14ac:dyDescent="0.15">
      <c r="A202" s="1" t="s">
        <v>1964</v>
      </c>
      <c r="B202" s="2" t="s">
        <v>1952</v>
      </c>
      <c r="C202" s="1" t="s">
        <v>1953</v>
      </c>
      <c r="D202" s="17"/>
    </row>
    <row r="203" spans="1:4" ht="15" customHeight="1" x14ac:dyDescent="0.15">
      <c r="A203" s="1" t="s">
        <v>1967</v>
      </c>
      <c r="B203" s="2" t="s">
        <v>1962</v>
      </c>
      <c r="C203" s="1" t="s">
        <v>1963</v>
      </c>
      <c r="D203" s="17"/>
    </row>
    <row r="204" spans="1:4" ht="15" customHeight="1" x14ac:dyDescent="0.15">
      <c r="A204" s="1" t="s">
        <v>1970</v>
      </c>
      <c r="B204" s="2" t="s">
        <v>1965</v>
      </c>
      <c r="C204" s="1" t="s">
        <v>1966</v>
      </c>
      <c r="D204" s="17"/>
    </row>
    <row r="205" spans="1:4" ht="15" customHeight="1" x14ac:dyDescent="0.15">
      <c r="A205" s="1" t="s">
        <v>1973</v>
      </c>
      <c r="B205" s="2" t="s">
        <v>1968</v>
      </c>
      <c r="C205" s="1" t="s">
        <v>1969</v>
      </c>
      <c r="D205" s="17"/>
    </row>
    <row r="206" spans="1:4" ht="15" customHeight="1" x14ac:dyDescent="0.15">
      <c r="A206" s="1" t="s">
        <v>2021</v>
      </c>
      <c r="B206" s="2" t="s">
        <v>1971</v>
      </c>
      <c r="C206" s="1" t="s">
        <v>1972</v>
      </c>
      <c r="D206" s="17"/>
    </row>
    <row r="207" spans="1:4" ht="15" customHeight="1" x14ac:dyDescent="0.15">
      <c r="A207" s="1" t="s">
        <v>2022</v>
      </c>
      <c r="B207" s="2" t="s">
        <v>1974</v>
      </c>
      <c r="C207" s="1" t="s">
        <v>1975</v>
      </c>
      <c r="D207" s="17"/>
    </row>
    <row r="208" spans="1:4" ht="15" customHeight="1" x14ac:dyDescent="0.15">
      <c r="A208" s="1" t="s">
        <v>40</v>
      </c>
      <c r="B208" s="2" t="s">
        <v>40</v>
      </c>
      <c r="C208" s="1" t="s">
        <v>40</v>
      </c>
      <c r="D208" s="17"/>
    </row>
    <row r="209" spans="1:4" ht="15" customHeight="1" x14ac:dyDescent="0.15">
      <c r="A209" s="1" t="s">
        <v>1976</v>
      </c>
      <c r="B209" s="2" t="s">
        <v>247</v>
      </c>
      <c r="C209" s="1" t="s">
        <v>1977</v>
      </c>
      <c r="D209" s="17"/>
    </row>
    <row r="210" spans="1:4" ht="15" customHeight="1" x14ac:dyDescent="0.15">
      <c r="A210" s="1" t="s">
        <v>1978</v>
      </c>
      <c r="B210" s="2" t="s">
        <v>245</v>
      </c>
      <c r="C210" s="1" t="s">
        <v>1979</v>
      </c>
      <c r="D210" s="17"/>
    </row>
    <row r="211" spans="1:4" ht="15" customHeight="1" x14ac:dyDescent="0.15">
      <c r="A211" s="1" t="s">
        <v>1980</v>
      </c>
      <c r="B211" s="2" t="s">
        <v>246</v>
      </c>
      <c r="C211" s="1" t="s">
        <v>1981</v>
      </c>
      <c r="D211" s="17"/>
    </row>
    <row r="212" spans="1:4" ht="15" customHeight="1" x14ac:dyDescent="0.15">
      <c r="A212" s="1" t="s">
        <v>40</v>
      </c>
      <c r="B212" s="2" t="s">
        <v>40</v>
      </c>
      <c r="C212" s="1" t="s">
        <v>40</v>
      </c>
      <c r="D212" s="17"/>
    </row>
    <row r="213" spans="1:4" ht="15" customHeight="1" x14ac:dyDescent="0.15">
      <c r="A213" s="1" t="s">
        <v>1982</v>
      </c>
      <c r="B213" s="2" t="s">
        <v>93</v>
      </c>
      <c r="C213" s="1" t="s">
        <v>2030</v>
      </c>
      <c r="D213" s="17"/>
    </row>
    <row r="214" spans="1:4" ht="15" customHeight="1" x14ac:dyDescent="0.15">
      <c r="A214" s="1" t="s">
        <v>1983</v>
      </c>
      <c r="B214" s="2" t="s">
        <v>94</v>
      </c>
      <c r="C214" s="1" t="s">
        <v>1984</v>
      </c>
      <c r="D214" s="17"/>
    </row>
    <row r="215" spans="1:4" ht="15" customHeight="1" x14ac:dyDescent="0.15">
      <c r="A215" s="1" t="s">
        <v>1985</v>
      </c>
      <c r="B215" s="2" t="s">
        <v>95</v>
      </c>
      <c r="C215" s="1" t="s">
        <v>1986</v>
      </c>
      <c r="D215" s="17"/>
    </row>
    <row r="216" spans="1:4" ht="15" customHeight="1" x14ac:dyDescent="0.15">
      <c r="A216" s="1" t="s">
        <v>1987</v>
      </c>
      <c r="B216" s="2" t="s">
        <v>96</v>
      </c>
      <c r="C216" s="1" t="s">
        <v>1988</v>
      </c>
      <c r="D216" s="17"/>
    </row>
    <row r="217" spans="1:4" ht="15" customHeight="1" x14ac:dyDescent="0.15">
      <c r="A217" s="1" t="s">
        <v>1989</v>
      </c>
      <c r="B217" s="2" t="s">
        <v>97</v>
      </c>
      <c r="C217" s="1" t="s">
        <v>1990</v>
      </c>
      <c r="D217" s="17"/>
    </row>
    <row r="218" spans="1:4" ht="15" customHeight="1" x14ac:dyDescent="0.15">
      <c r="A218" s="1" t="s">
        <v>1991</v>
      </c>
      <c r="B218" s="2" t="s">
        <v>98</v>
      </c>
      <c r="C218" s="1" t="s">
        <v>1992</v>
      </c>
      <c r="D218" s="17"/>
    </row>
    <row r="219" spans="1:4" ht="15" customHeight="1" x14ac:dyDescent="0.15">
      <c r="A219" s="1" t="s">
        <v>1993</v>
      </c>
      <c r="B219" s="2" t="s">
        <v>99</v>
      </c>
      <c r="C219" s="1" t="s">
        <v>99</v>
      </c>
      <c r="D219" s="17"/>
    </row>
    <row r="220" spans="1:4" ht="15" customHeight="1" x14ac:dyDescent="0.15">
      <c r="A220" s="1" t="s">
        <v>1994</v>
      </c>
      <c r="B220" s="2" t="s">
        <v>929</v>
      </c>
      <c r="C220" s="1" t="s">
        <v>2029</v>
      </c>
      <c r="D220" s="17"/>
    </row>
    <row r="221" spans="1:4" ht="15" customHeight="1" x14ac:dyDescent="0.15">
      <c r="A221" s="1" t="s">
        <v>1995</v>
      </c>
      <c r="B221" s="2" t="s">
        <v>40</v>
      </c>
      <c r="C221" s="1" t="s">
        <v>40</v>
      </c>
      <c r="D221" s="17"/>
    </row>
    <row r="222" spans="1:4" ht="15" customHeight="1" x14ac:dyDescent="0.15">
      <c r="A222" s="1" t="s">
        <v>1996</v>
      </c>
      <c r="B222" s="2" t="s">
        <v>40</v>
      </c>
      <c r="C222" s="1" t="s">
        <v>40</v>
      </c>
      <c r="D222" s="17"/>
    </row>
    <row r="223" spans="1:4" ht="15" customHeight="1" x14ac:dyDescent="0.15">
      <c r="A223" s="1" t="s">
        <v>40</v>
      </c>
      <c r="B223" s="2" t="s">
        <v>40</v>
      </c>
      <c r="C223" s="1" t="s">
        <v>40</v>
      </c>
      <c r="D223" s="17"/>
    </row>
    <row r="224" spans="1:4" ht="15" customHeight="1" x14ac:dyDescent="0.15">
      <c r="A224" s="1" t="s">
        <v>1997</v>
      </c>
      <c r="B224" s="2" t="s">
        <v>1702</v>
      </c>
      <c r="C224" s="1" t="s">
        <v>446</v>
      </c>
      <c r="D224" s="17"/>
    </row>
    <row r="225" spans="1:4" ht="15" customHeight="1" x14ac:dyDescent="0.15">
      <c r="A225" s="1" t="s">
        <v>1998</v>
      </c>
      <c r="B225" s="2" t="s">
        <v>1730</v>
      </c>
      <c r="C225" s="1" t="s">
        <v>259</v>
      </c>
      <c r="D225" s="17"/>
    </row>
    <row r="226" spans="1:4" ht="15" customHeight="1" x14ac:dyDescent="0.15">
      <c r="A226" s="1" t="s">
        <v>1999</v>
      </c>
      <c r="B226" s="2" t="s">
        <v>2000</v>
      </c>
      <c r="C226" s="1" t="s">
        <v>2038</v>
      </c>
      <c r="D226" s="17"/>
    </row>
    <row r="227" spans="1:4" ht="15" customHeight="1" x14ac:dyDescent="0.15">
      <c r="A227" s="1" t="s">
        <v>40</v>
      </c>
      <c r="B227" s="2" t="s">
        <v>40</v>
      </c>
      <c r="C227" s="1" t="s">
        <v>40</v>
      </c>
      <c r="D227" s="17"/>
    </row>
    <row r="228" spans="1:4" ht="15" customHeight="1" x14ac:dyDescent="0.15">
      <c r="A228" s="1" t="s">
        <v>2001</v>
      </c>
      <c r="B228" s="2" t="s">
        <v>1701</v>
      </c>
      <c r="C228" s="1" t="s">
        <v>2002</v>
      </c>
      <c r="D228" s="17"/>
    </row>
    <row r="229" spans="1:4" ht="15" customHeight="1" x14ac:dyDescent="0.15">
      <c r="A229" s="1" t="s">
        <v>2003</v>
      </c>
      <c r="B229" s="2" t="s">
        <v>72</v>
      </c>
      <c r="C229" s="1" t="s">
        <v>72</v>
      </c>
      <c r="D229" s="17"/>
    </row>
    <row r="230" spans="1:4" ht="15" customHeight="1" x14ac:dyDescent="0.15">
      <c r="A230" s="1" t="s">
        <v>40</v>
      </c>
      <c r="B230" s="2" t="s">
        <v>40</v>
      </c>
      <c r="C230" s="1" t="s">
        <v>40</v>
      </c>
      <c r="D230" s="17"/>
    </row>
    <row r="231" spans="1:4" ht="15" customHeight="1" x14ac:dyDescent="0.15">
      <c r="A231" s="1" t="s">
        <v>746</v>
      </c>
      <c r="B231" s="2" t="s">
        <v>809</v>
      </c>
      <c r="C231" s="1" t="s">
        <v>809</v>
      </c>
      <c r="D231" s="17"/>
    </row>
    <row r="232" spans="1:4" ht="15" customHeight="1" x14ac:dyDescent="0.15">
      <c r="A232" s="1" t="s">
        <v>833</v>
      </c>
      <c r="B232" s="2" t="s">
        <v>2004</v>
      </c>
      <c r="C232" s="1" t="s">
        <v>1795</v>
      </c>
      <c r="D232" s="17"/>
    </row>
    <row r="233" spans="1:4" ht="15" customHeight="1" x14ac:dyDescent="0.15">
      <c r="A233" s="1" t="s">
        <v>40</v>
      </c>
      <c r="B233" s="2" t="s">
        <v>40</v>
      </c>
      <c r="C233" s="1" t="s">
        <v>40</v>
      </c>
      <c r="D233" s="17"/>
    </row>
    <row r="234" spans="1:4" ht="15" customHeight="1" x14ac:dyDescent="0.15">
      <c r="A234" s="1" t="s">
        <v>2005</v>
      </c>
      <c r="B234" s="2" t="s">
        <v>1766</v>
      </c>
      <c r="C234" s="1" t="s">
        <v>1766</v>
      </c>
      <c r="D234" s="17"/>
    </row>
    <row r="235" spans="1:4" ht="15" customHeight="1" x14ac:dyDescent="0.15">
      <c r="A235" s="1" t="s">
        <v>2006</v>
      </c>
      <c r="B235" s="2" t="s">
        <v>2007</v>
      </c>
      <c r="C235" s="1" t="s">
        <v>2008</v>
      </c>
      <c r="D235" s="17"/>
    </row>
    <row r="236" spans="1:4" ht="15" customHeight="1" x14ac:dyDescent="0.15">
      <c r="A236" s="1" t="s">
        <v>40</v>
      </c>
      <c r="B236" s="2" t="s">
        <v>40</v>
      </c>
      <c r="C236" s="1" t="s">
        <v>40</v>
      </c>
      <c r="D236" s="17"/>
    </row>
    <row r="237" spans="1:4" ht="15" customHeight="1" x14ac:dyDescent="0.15">
      <c r="A237" s="1" t="s">
        <v>2041</v>
      </c>
      <c r="B237" s="2" t="s">
        <v>63</v>
      </c>
      <c r="C237" s="1" t="s">
        <v>2053</v>
      </c>
      <c r="D237" s="17"/>
    </row>
    <row r="238" spans="1:4" ht="15" customHeight="1" x14ac:dyDescent="0.15">
      <c r="A238" s="1" t="s">
        <v>2042</v>
      </c>
      <c r="B238" s="2" t="s">
        <v>64</v>
      </c>
      <c r="C238" s="1" t="s">
        <v>2054</v>
      </c>
      <c r="D238" s="17"/>
    </row>
    <row r="239" spans="1:4" ht="15" customHeight="1" x14ac:dyDescent="0.15">
      <c r="A239" s="1" t="s">
        <v>2043</v>
      </c>
      <c r="B239" s="2" t="s">
        <v>65</v>
      </c>
      <c r="C239" s="1" t="s">
        <v>2055</v>
      </c>
      <c r="D239" s="17"/>
    </row>
    <row r="240" spans="1:4" ht="15" customHeight="1" x14ac:dyDescent="0.15">
      <c r="A240" s="1" t="s">
        <v>2044</v>
      </c>
      <c r="B240" s="2" t="s">
        <v>66</v>
      </c>
      <c r="C240" s="1" t="s">
        <v>2056</v>
      </c>
      <c r="D240" s="17"/>
    </row>
    <row r="241" spans="1:4" ht="15" customHeight="1" x14ac:dyDescent="0.15">
      <c r="A241" s="1" t="s">
        <v>2045</v>
      </c>
      <c r="B241" s="2" t="s">
        <v>67</v>
      </c>
      <c r="C241" s="1" t="s">
        <v>2057</v>
      </c>
      <c r="D241" s="17"/>
    </row>
    <row r="242" spans="1:4" ht="15" customHeight="1" x14ac:dyDescent="0.15">
      <c r="A242" s="1" t="s">
        <v>2046</v>
      </c>
      <c r="B242" s="2" t="s">
        <v>68</v>
      </c>
      <c r="C242" s="1" t="s">
        <v>2058</v>
      </c>
      <c r="D242" s="17"/>
    </row>
    <row r="243" spans="1:4" ht="15" customHeight="1" x14ac:dyDescent="0.15">
      <c r="A243" s="1" t="s">
        <v>2047</v>
      </c>
      <c r="B243" s="2" t="s">
        <v>69</v>
      </c>
      <c r="C243" s="1" t="s">
        <v>2059</v>
      </c>
      <c r="D243" s="17"/>
    </row>
    <row r="244" spans="1:4" ht="15" customHeight="1" x14ac:dyDescent="0.15">
      <c r="A244" s="1" t="s">
        <v>2048</v>
      </c>
      <c r="B244" s="2" t="s">
        <v>70</v>
      </c>
      <c r="C244" s="1" t="s">
        <v>2060</v>
      </c>
      <c r="D244" s="17"/>
    </row>
    <row r="245" spans="1:4" ht="15" customHeight="1" x14ac:dyDescent="0.15">
      <c r="A245" s="1" t="s">
        <v>2049</v>
      </c>
      <c r="B245" s="2" t="s">
        <v>71</v>
      </c>
      <c r="C245" s="1" t="s">
        <v>2061</v>
      </c>
      <c r="D245" s="17"/>
    </row>
    <row r="246" spans="1:4" ht="15" customHeight="1" x14ac:dyDescent="0.15">
      <c r="A246" s="1" t="s">
        <v>2050</v>
      </c>
      <c r="B246" s="2" t="s">
        <v>73</v>
      </c>
      <c r="C246" s="1" t="s">
        <v>2062</v>
      </c>
      <c r="D246" s="17"/>
    </row>
    <row r="247" spans="1:4" ht="15" customHeight="1" x14ac:dyDescent="0.15">
      <c r="A247" s="1" t="s">
        <v>2051</v>
      </c>
      <c r="B247" s="2" t="s">
        <v>77</v>
      </c>
      <c r="C247" s="1" t="s">
        <v>2063</v>
      </c>
      <c r="D247" s="17"/>
    </row>
    <row r="248" spans="1:4" ht="15" customHeight="1" x14ac:dyDescent="0.15">
      <c r="A248" s="1" t="s">
        <v>2052</v>
      </c>
      <c r="B248" s="2" t="s">
        <v>78</v>
      </c>
      <c r="C248" s="1" t="s">
        <v>2064</v>
      </c>
      <c r="D248" s="17"/>
    </row>
    <row r="249" spans="1:4" ht="15" customHeight="1" x14ac:dyDescent="0.15">
      <c r="A249" s="1" t="s">
        <v>40</v>
      </c>
      <c r="B249" s="2" t="s">
        <v>40</v>
      </c>
      <c r="C249" s="1" t="s">
        <v>40</v>
      </c>
      <c r="D249" s="17"/>
    </row>
    <row r="250" spans="1:4" ht="15" customHeight="1" x14ac:dyDescent="0.15">
      <c r="A250" s="1" t="s">
        <v>2065</v>
      </c>
      <c r="B250" s="2" t="s">
        <v>2066</v>
      </c>
      <c r="C250" s="1" t="s">
        <v>2067</v>
      </c>
      <c r="D250" s="17"/>
    </row>
    <row r="251" spans="1:4" ht="15" customHeight="1" x14ac:dyDescent="0.15">
      <c r="A251" s="1"/>
      <c r="D251" s="17"/>
    </row>
    <row r="252" spans="1:4" ht="15" customHeight="1" x14ac:dyDescent="0.15">
      <c r="A252" s="16"/>
      <c r="B252" s="16"/>
      <c r="C252" s="17"/>
      <c r="D252" s="17"/>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776E-18E0-477A-838A-C93524C1407C}">
  <dimension ref="A1:AN115"/>
  <sheetViews>
    <sheetView workbookViewId="0">
      <selection activeCell="AP64" sqref="AP64"/>
    </sheetView>
  </sheetViews>
  <sheetFormatPr defaultRowHeight="10.5" x14ac:dyDescent="0.15"/>
  <sheetData>
    <row r="1" spans="1:40" ht="19.5" x14ac:dyDescent="0.15">
      <c r="A1" s="10" t="s">
        <v>1617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pans="1:40" ht="19.5" x14ac:dyDescent="0.15">
      <c r="A2" s="10"/>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pans="1:40" x14ac:dyDescent="0.1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spans="1:40"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pans="1:40" x14ac:dyDescent="0.1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spans="1:40" x14ac:dyDescent="0.15">
      <c r="A6" s="2" t="s">
        <v>1618</v>
      </c>
      <c r="B6" s="2"/>
      <c r="C6" s="2"/>
      <c r="D6" s="2" t="s">
        <v>1625</v>
      </c>
      <c r="E6" s="2"/>
      <c r="F6" s="2"/>
      <c r="G6" s="2"/>
      <c r="H6" s="2"/>
      <c r="I6" s="2"/>
      <c r="J6" s="2"/>
      <c r="K6" s="2"/>
      <c r="L6" s="2" t="s">
        <v>1626</v>
      </c>
      <c r="M6" s="2"/>
      <c r="N6" s="2"/>
      <c r="O6" s="2"/>
      <c r="P6" s="2"/>
      <c r="Q6" s="2"/>
      <c r="R6" s="2"/>
      <c r="S6" s="2"/>
      <c r="T6" s="2" t="s">
        <v>1627</v>
      </c>
      <c r="U6" s="2"/>
      <c r="V6" s="2"/>
      <c r="W6" s="2"/>
      <c r="X6" s="2"/>
      <c r="Y6" s="2"/>
      <c r="Z6" s="2"/>
      <c r="AA6" s="2"/>
      <c r="AC6" s="2" t="s">
        <v>1628</v>
      </c>
      <c r="AD6" s="2"/>
      <c r="AE6" s="2"/>
      <c r="AF6" s="2"/>
      <c r="AG6" s="2"/>
      <c r="AH6" s="2"/>
      <c r="AI6" s="2"/>
      <c r="AJ6" s="2"/>
      <c r="AK6" s="2"/>
      <c r="AL6" s="2" t="s">
        <v>1629</v>
      </c>
      <c r="AM6" s="2"/>
      <c r="AN6" s="2"/>
    </row>
    <row r="7" spans="1:40" x14ac:dyDescent="0.1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15">
      <c r="A8" s="2" t="s">
        <v>1619</v>
      </c>
      <c r="B8" s="2"/>
      <c r="C8" s="1" t="s">
        <v>259</v>
      </c>
      <c r="D8" s="1">
        <v>24</v>
      </c>
      <c r="E8" s="1">
        <v>30</v>
      </c>
      <c r="F8" s="1">
        <v>40</v>
      </c>
      <c r="G8" s="2"/>
      <c r="H8" s="2"/>
      <c r="I8" s="2" t="s">
        <v>1620</v>
      </c>
      <c r="J8" s="2"/>
      <c r="K8" s="1" t="s">
        <v>259</v>
      </c>
      <c r="L8" s="1">
        <v>24</v>
      </c>
      <c r="M8" s="1">
        <v>30</v>
      </c>
      <c r="N8" s="1">
        <v>40</v>
      </c>
      <c r="O8" s="2"/>
      <c r="P8" s="2"/>
      <c r="Q8" s="2" t="s">
        <v>260</v>
      </c>
      <c r="R8" s="2" t="s">
        <v>1621</v>
      </c>
      <c r="S8" s="1" t="s">
        <v>265</v>
      </c>
      <c r="T8" s="1">
        <v>24</v>
      </c>
      <c r="U8" s="1">
        <v>30</v>
      </c>
      <c r="V8" s="1">
        <v>40</v>
      </c>
      <c r="W8" s="2"/>
      <c r="X8" s="2"/>
      <c r="Y8" s="2"/>
      <c r="Z8" s="2" t="s">
        <v>260</v>
      </c>
      <c r="AA8" s="2" t="s">
        <v>1622</v>
      </c>
      <c r="AB8" s="1" t="s">
        <v>265</v>
      </c>
      <c r="AC8" s="1">
        <v>24</v>
      </c>
      <c r="AD8" s="1">
        <v>30</v>
      </c>
      <c r="AE8" s="1">
        <v>40</v>
      </c>
      <c r="AF8" s="2"/>
      <c r="AG8" s="2"/>
      <c r="AH8" s="2"/>
      <c r="AI8" s="2"/>
      <c r="AJ8" s="2"/>
      <c r="AK8" s="2"/>
      <c r="AL8" s="1">
        <v>24</v>
      </c>
      <c r="AM8" s="1">
        <v>30</v>
      </c>
      <c r="AN8" s="1">
        <v>40</v>
      </c>
    </row>
    <row r="9" spans="1:40" x14ac:dyDescent="0.15">
      <c r="A9" s="2"/>
      <c r="B9" s="2"/>
      <c r="C9" s="1">
        <v>1000</v>
      </c>
      <c r="D9" s="1">
        <v>3720</v>
      </c>
      <c r="E9" s="1">
        <v>3980</v>
      </c>
      <c r="F9" s="1">
        <v>4460</v>
      </c>
      <c r="G9" s="2"/>
      <c r="H9" s="2"/>
      <c r="I9" s="2"/>
      <c r="J9" s="2"/>
      <c r="K9" s="1">
        <v>1000</v>
      </c>
      <c r="L9" s="2">
        <v>3720</v>
      </c>
      <c r="M9" s="2">
        <v>3980</v>
      </c>
      <c r="N9" s="2">
        <v>4460</v>
      </c>
      <c r="O9" s="2"/>
      <c r="P9" s="2"/>
      <c r="Q9" s="2"/>
      <c r="R9" s="2"/>
      <c r="S9" s="1">
        <v>10</v>
      </c>
      <c r="T9" s="50">
        <v>2120.9164166392275</v>
      </c>
      <c r="U9" s="50">
        <v>2380.9164166392275</v>
      </c>
      <c r="V9" s="50">
        <v>2860.9164166392275</v>
      </c>
      <c r="W9" s="2"/>
      <c r="X9" s="2"/>
      <c r="Y9" s="2"/>
      <c r="Z9" s="2"/>
      <c r="AA9" s="2"/>
      <c r="AB9" s="1">
        <v>15</v>
      </c>
      <c r="AC9" s="50">
        <v>2957.5334773215209</v>
      </c>
      <c r="AD9" s="50">
        <v>3217.5334773215209</v>
      </c>
      <c r="AE9" s="50">
        <v>3697.5334773215209</v>
      </c>
      <c r="AF9" s="2"/>
      <c r="AG9" s="2"/>
      <c r="AH9" s="2"/>
      <c r="AI9" s="2"/>
      <c r="AJ9" s="2"/>
      <c r="AK9" s="2" t="s">
        <v>1643</v>
      </c>
      <c r="AL9" s="1">
        <v>10924</v>
      </c>
      <c r="AM9" s="1">
        <v>11684</v>
      </c>
      <c r="AN9" s="1">
        <v>13044</v>
      </c>
    </row>
    <row r="10" spans="1:40" x14ac:dyDescent="0.15">
      <c r="A10" s="2"/>
      <c r="B10" s="2"/>
      <c r="C10" s="1">
        <v>1100</v>
      </c>
      <c r="D10" s="1">
        <v>3920</v>
      </c>
      <c r="E10" s="1">
        <v>4180</v>
      </c>
      <c r="F10" s="1">
        <v>4660</v>
      </c>
      <c r="G10" s="2"/>
      <c r="H10" s="2"/>
      <c r="I10" s="2"/>
      <c r="J10" s="2"/>
      <c r="K10" s="1">
        <v>1100</v>
      </c>
      <c r="L10" s="2">
        <v>3920</v>
      </c>
      <c r="M10" s="2">
        <v>4180</v>
      </c>
      <c r="N10" s="2">
        <v>4660</v>
      </c>
      <c r="O10" s="2"/>
      <c r="P10" s="2"/>
      <c r="Q10" s="2"/>
      <c r="R10" s="2"/>
      <c r="S10" s="1">
        <v>15</v>
      </c>
      <c r="T10" s="50">
        <v>2320.4204842122372</v>
      </c>
      <c r="U10" s="50">
        <v>2580.4204842122372</v>
      </c>
      <c r="V10" s="50">
        <v>3060.4204842122372</v>
      </c>
      <c r="W10" s="2"/>
      <c r="X10" s="2"/>
      <c r="Y10" s="2"/>
      <c r="Z10" s="2"/>
      <c r="AA10" s="2"/>
      <c r="AB10" s="1">
        <v>20</v>
      </c>
      <c r="AC10" s="50">
        <v>3377.473618659571</v>
      </c>
      <c r="AD10" s="50">
        <v>3637.473618659571</v>
      </c>
      <c r="AE10" s="50">
        <v>4117.473618659571</v>
      </c>
      <c r="AF10" s="2"/>
      <c r="AG10" s="2"/>
      <c r="AH10" s="2"/>
      <c r="AI10" s="2"/>
      <c r="AJ10" s="2"/>
    </row>
    <row r="11" spans="1:40" x14ac:dyDescent="0.15">
      <c r="A11" s="2"/>
      <c r="B11" s="2"/>
      <c r="C11" s="1">
        <v>1200</v>
      </c>
      <c r="D11" s="1">
        <v>4120</v>
      </c>
      <c r="E11" s="1">
        <v>4380</v>
      </c>
      <c r="F11" s="1">
        <v>4860</v>
      </c>
      <c r="G11" s="2"/>
      <c r="H11" s="2"/>
      <c r="I11" s="2"/>
      <c r="J11" s="2"/>
      <c r="K11" s="1">
        <v>1200</v>
      </c>
      <c r="L11" s="2">
        <v>4120</v>
      </c>
      <c r="M11" s="2">
        <v>4380</v>
      </c>
      <c r="N11" s="2">
        <v>4860</v>
      </c>
      <c r="O11" s="2"/>
      <c r="P11" s="2"/>
      <c r="Q11" s="2"/>
      <c r="R11" s="2"/>
      <c r="S11" s="1">
        <v>20</v>
      </c>
      <c r="T11" s="50">
        <v>2518.7816172678795</v>
      </c>
      <c r="U11" s="50">
        <v>2778.7816172678795</v>
      </c>
      <c r="V11" s="50">
        <v>3258.7816172678795</v>
      </c>
      <c r="W11" s="2"/>
      <c r="X11" s="2"/>
      <c r="Y11" s="2"/>
      <c r="Z11" s="2"/>
      <c r="AA11" s="2"/>
      <c r="AB11" s="1">
        <v>25</v>
      </c>
      <c r="AC11" s="50">
        <v>3803.9298288436348</v>
      </c>
      <c r="AD11" s="50">
        <v>4063.9298288436348</v>
      </c>
      <c r="AE11" s="50">
        <v>4543.9298288436348</v>
      </c>
      <c r="AF11" s="2"/>
      <c r="AG11" s="2"/>
      <c r="AH11" s="2"/>
      <c r="AI11" s="2"/>
      <c r="AJ11" s="2"/>
      <c r="AK11" s="2"/>
      <c r="AL11" s="2"/>
      <c r="AM11" s="2"/>
      <c r="AN11" s="2"/>
    </row>
    <row r="12" spans="1:40" x14ac:dyDescent="0.15">
      <c r="A12" s="2"/>
      <c r="B12" s="2"/>
      <c r="C12" s="1">
        <v>1300</v>
      </c>
      <c r="D12" s="1">
        <v>4320</v>
      </c>
      <c r="E12" s="1">
        <v>4580</v>
      </c>
      <c r="F12" s="1">
        <v>5060</v>
      </c>
      <c r="G12" s="2"/>
      <c r="H12" s="2"/>
      <c r="I12" s="2"/>
      <c r="J12" s="2"/>
      <c r="K12" s="1">
        <v>1300</v>
      </c>
      <c r="L12" s="2">
        <v>4320</v>
      </c>
      <c r="M12" s="2">
        <v>4580</v>
      </c>
      <c r="N12" s="2">
        <v>5060</v>
      </c>
      <c r="O12" s="2"/>
      <c r="P12" s="2"/>
      <c r="Q12" s="2"/>
      <c r="R12" s="2"/>
      <c r="S12" s="1">
        <v>25</v>
      </c>
      <c r="T12" s="50">
        <v>2715.6222241152732</v>
      </c>
      <c r="U12" s="50">
        <v>2975.6222241152732</v>
      </c>
      <c r="V12" s="50">
        <v>3455.6222241152732</v>
      </c>
      <c r="W12" s="2"/>
      <c r="X12" s="2"/>
      <c r="Y12" s="2"/>
      <c r="Z12" s="2"/>
      <c r="AA12" s="2"/>
      <c r="AB12" s="1">
        <v>30</v>
      </c>
      <c r="AC12" s="50">
        <v>4238.7224088525527</v>
      </c>
      <c r="AD12" s="50">
        <v>4498.7224088525527</v>
      </c>
      <c r="AE12" s="50">
        <v>4978.7224088525527</v>
      </c>
      <c r="AF12" s="2"/>
      <c r="AG12" s="2"/>
      <c r="AH12" s="2"/>
      <c r="AI12" s="2"/>
      <c r="AJ12" s="2"/>
      <c r="AK12" s="2"/>
      <c r="AL12" s="2"/>
      <c r="AM12" s="2"/>
      <c r="AN12" s="2"/>
    </row>
    <row r="13" spans="1:40" x14ac:dyDescent="0.15">
      <c r="A13" s="2"/>
      <c r="B13" s="2"/>
      <c r="C13" s="1">
        <v>1400</v>
      </c>
      <c r="D13" s="1">
        <v>4520</v>
      </c>
      <c r="E13" s="1">
        <v>4780</v>
      </c>
      <c r="F13" s="1">
        <v>5260</v>
      </c>
      <c r="G13" s="2"/>
      <c r="H13" s="2"/>
      <c r="I13" s="2"/>
      <c r="J13" s="2"/>
      <c r="K13" s="1">
        <v>1400</v>
      </c>
      <c r="L13" s="2">
        <v>4520</v>
      </c>
      <c r="M13" s="2">
        <v>4780</v>
      </c>
      <c r="N13" s="2">
        <v>5260</v>
      </c>
      <c r="O13" s="2"/>
      <c r="P13" s="2"/>
      <c r="Q13" s="2"/>
      <c r="R13" s="2"/>
      <c r="S13" s="1">
        <v>30</v>
      </c>
      <c r="T13" s="50">
        <v>2910.5676074715957</v>
      </c>
      <c r="U13" s="50">
        <v>3170.5676074715957</v>
      </c>
      <c r="V13" s="50">
        <v>3650.5676074715957</v>
      </c>
      <c r="W13" s="2"/>
      <c r="X13" s="2"/>
      <c r="Y13" s="2"/>
      <c r="Z13" s="2"/>
      <c r="AA13" s="2"/>
      <c r="AB13" s="1">
        <v>35</v>
      </c>
      <c r="AC13" s="50">
        <v>4683.8086154624452</v>
      </c>
      <c r="AD13" s="50">
        <v>4943.8086154624452</v>
      </c>
      <c r="AE13" s="50">
        <v>5423.8086154624452</v>
      </c>
      <c r="AF13" s="2"/>
      <c r="AG13" s="2"/>
      <c r="AH13" s="2"/>
      <c r="AI13" s="2"/>
      <c r="AJ13" s="2"/>
      <c r="AK13" s="2"/>
      <c r="AL13" s="2"/>
      <c r="AM13" s="2"/>
      <c r="AN13" s="2"/>
    </row>
    <row r="14" spans="1:40" x14ac:dyDescent="0.15">
      <c r="A14" s="2"/>
      <c r="B14" s="2"/>
      <c r="C14" s="1">
        <v>1500</v>
      </c>
      <c r="D14" s="1">
        <v>4720</v>
      </c>
      <c r="E14" s="1">
        <v>4980</v>
      </c>
      <c r="F14" s="1">
        <v>5460</v>
      </c>
      <c r="G14" s="2"/>
      <c r="H14" s="2"/>
      <c r="I14" s="2"/>
      <c r="J14" s="2"/>
      <c r="K14" s="1">
        <v>1500</v>
      </c>
      <c r="L14" s="2">
        <v>4720</v>
      </c>
      <c r="M14" s="2">
        <v>4980</v>
      </c>
      <c r="N14" s="2">
        <v>5460</v>
      </c>
      <c r="O14" s="2"/>
      <c r="P14" s="2"/>
      <c r="Q14" s="2"/>
      <c r="R14" s="2"/>
      <c r="S14" s="1">
        <v>35</v>
      </c>
      <c r="T14" s="50">
        <v>3103.2466777196564</v>
      </c>
      <c r="U14" s="50">
        <v>3363.2466777196564</v>
      </c>
      <c r="V14" s="50">
        <v>3843.2466777196564</v>
      </c>
      <c r="W14" s="2"/>
      <c r="X14" s="2"/>
      <c r="Y14" s="2"/>
      <c r="Z14" s="2"/>
      <c r="AA14" s="2"/>
      <c r="AB14" s="1">
        <v>40</v>
      </c>
      <c r="AC14" s="50">
        <v>5141.3202021023026</v>
      </c>
      <c r="AD14" s="50">
        <v>5401.3202021023026</v>
      </c>
      <c r="AE14" s="50">
        <v>5881.3202021023026</v>
      </c>
      <c r="AF14" s="2"/>
      <c r="AG14" s="2"/>
      <c r="AH14" s="2"/>
      <c r="AI14" s="2"/>
      <c r="AJ14" s="2"/>
      <c r="AL14" s="2" t="s">
        <v>1630</v>
      </c>
    </row>
    <row r="15" spans="1:40" x14ac:dyDescent="0.15">
      <c r="A15" s="2"/>
      <c r="B15" s="2"/>
      <c r="C15" s="1">
        <v>1600</v>
      </c>
      <c r="D15" s="1">
        <v>6640</v>
      </c>
      <c r="E15" s="1">
        <v>7160</v>
      </c>
      <c r="F15" s="1">
        <v>8120</v>
      </c>
      <c r="G15" s="2"/>
      <c r="H15" s="2"/>
      <c r="I15" s="2"/>
      <c r="J15" s="2"/>
      <c r="K15" s="1">
        <v>1600</v>
      </c>
      <c r="L15" s="2">
        <v>4920</v>
      </c>
      <c r="M15" s="2">
        <v>5180</v>
      </c>
      <c r="N15" s="2">
        <v>5660</v>
      </c>
      <c r="O15" s="2"/>
      <c r="P15" s="2"/>
      <c r="Q15" s="2"/>
      <c r="R15" s="2"/>
      <c r="S15" s="1">
        <v>40</v>
      </c>
      <c r="T15" s="50">
        <v>3293.2926592980762</v>
      </c>
      <c r="U15" s="50">
        <v>3553.2926592980762</v>
      </c>
      <c r="V15" s="50">
        <v>4033.2926592980762</v>
      </c>
      <c r="W15" s="2"/>
      <c r="X15" s="2"/>
      <c r="Y15" s="2"/>
      <c r="Z15" s="2"/>
      <c r="AA15" s="2"/>
      <c r="AB15" s="1">
        <v>45</v>
      </c>
      <c r="AC15" s="50">
        <v>5613.6074863070935</v>
      </c>
      <c r="AD15" s="50">
        <v>5873.6074863070935</v>
      </c>
      <c r="AE15" s="50">
        <v>6353.6074863070935</v>
      </c>
      <c r="AF15" s="2"/>
      <c r="AG15" s="2"/>
      <c r="AH15" s="2"/>
      <c r="AI15" s="2"/>
      <c r="AJ15" s="2"/>
    </row>
    <row r="16" spans="1:40" x14ac:dyDescent="0.15">
      <c r="A16" s="2"/>
      <c r="B16" s="2"/>
      <c r="C16" s="1">
        <v>1700</v>
      </c>
      <c r="D16" s="1">
        <v>6840</v>
      </c>
      <c r="E16" s="1">
        <v>7360</v>
      </c>
      <c r="F16" s="1">
        <v>8320</v>
      </c>
      <c r="G16" s="2"/>
      <c r="H16" s="2"/>
      <c r="I16" s="2"/>
      <c r="J16" s="2"/>
      <c r="K16" s="1">
        <v>1700</v>
      </c>
      <c r="L16" s="2">
        <v>5120</v>
      </c>
      <c r="M16" s="2">
        <v>5380</v>
      </c>
      <c r="N16" s="2">
        <v>5860</v>
      </c>
      <c r="O16" s="2"/>
      <c r="P16" s="2"/>
      <c r="Q16" s="2"/>
      <c r="R16" s="2"/>
      <c r="S16" s="1">
        <v>45</v>
      </c>
      <c r="T16" s="50">
        <v>3480.3437888794133</v>
      </c>
      <c r="U16" s="50">
        <v>3740.3437888794133</v>
      </c>
      <c r="V16" s="50">
        <v>4220.3437888794133</v>
      </c>
      <c r="W16" s="2"/>
      <c r="X16" s="2"/>
      <c r="Y16" s="2"/>
      <c r="Z16" s="2"/>
      <c r="AA16" s="2"/>
      <c r="AB16" s="1">
        <v>50</v>
      </c>
      <c r="AC16" s="50">
        <v>6103.2919866569864</v>
      </c>
      <c r="AD16" s="50">
        <v>6363.2919866569864</v>
      </c>
      <c r="AE16" s="50">
        <v>6843.2919866569864</v>
      </c>
      <c r="AF16" s="2"/>
      <c r="AG16" s="2"/>
      <c r="AH16" s="2"/>
      <c r="AI16" s="2"/>
      <c r="AJ16" s="2"/>
      <c r="AK16" s="2"/>
      <c r="AL16" s="1">
        <v>24</v>
      </c>
      <c r="AM16" s="1">
        <v>30</v>
      </c>
      <c r="AN16" s="1">
        <v>40</v>
      </c>
    </row>
    <row r="17" spans="1:40" x14ac:dyDescent="0.15">
      <c r="A17" s="2"/>
      <c r="B17" s="2"/>
      <c r="C17" s="1">
        <v>1800</v>
      </c>
      <c r="D17" s="1">
        <v>7040</v>
      </c>
      <c r="E17" s="1">
        <v>7560</v>
      </c>
      <c r="F17" s="1">
        <v>8520</v>
      </c>
      <c r="G17" s="2"/>
      <c r="H17" s="2"/>
      <c r="I17" s="2"/>
      <c r="J17" s="2"/>
      <c r="K17" s="1">
        <v>1800</v>
      </c>
      <c r="L17" s="2">
        <v>5320</v>
      </c>
      <c r="M17" s="2">
        <v>5580</v>
      </c>
      <c r="N17" s="2">
        <v>6060</v>
      </c>
      <c r="O17" s="2"/>
      <c r="P17" s="2"/>
      <c r="Q17" s="2"/>
      <c r="R17" s="2"/>
      <c r="S17" s="1">
        <v>50</v>
      </c>
      <c r="T17" s="50">
        <v>3664.0440040072172</v>
      </c>
      <c r="U17" s="50">
        <v>3924.0440040072172</v>
      </c>
      <c r="V17" s="50">
        <v>4404.0440040072172</v>
      </c>
      <c r="W17" s="2"/>
      <c r="X17" s="2"/>
      <c r="Y17" s="2"/>
      <c r="Z17" s="2"/>
      <c r="AA17" s="2"/>
      <c r="AB17" s="1">
        <v>55</v>
      </c>
      <c r="AC17" s="50">
        <v>6613.3302751864148</v>
      </c>
      <c r="AD17" s="50">
        <v>6873.3302751864148</v>
      </c>
      <c r="AE17" s="50">
        <v>7353.3302751864148</v>
      </c>
      <c r="AF17" s="2"/>
      <c r="AG17" s="2"/>
      <c r="AH17" s="2"/>
      <c r="AI17" s="2"/>
      <c r="AJ17" s="2"/>
      <c r="AK17" s="2" t="s">
        <v>1644</v>
      </c>
      <c r="AL17" s="1">
        <v>11740</v>
      </c>
      <c r="AM17" s="1">
        <v>12780</v>
      </c>
      <c r="AN17" s="1">
        <v>14696</v>
      </c>
    </row>
    <row r="18" spans="1:40" x14ac:dyDescent="0.15">
      <c r="A18" s="2"/>
      <c r="B18" s="2"/>
      <c r="C18" s="1">
        <v>1900</v>
      </c>
      <c r="D18" s="1">
        <v>7240</v>
      </c>
      <c r="E18" s="1">
        <v>7760</v>
      </c>
      <c r="F18" s="1">
        <v>8720</v>
      </c>
      <c r="G18" s="2"/>
      <c r="H18" s="2"/>
      <c r="I18" s="2"/>
      <c r="J18" s="2"/>
      <c r="K18" s="1">
        <v>1900</v>
      </c>
      <c r="L18" s="2">
        <v>5520</v>
      </c>
      <c r="M18" s="2">
        <v>5780</v>
      </c>
      <c r="N18" s="2">
        <v>6260</v>
      </c>
      <c r="O18" s="2"/>
      <c r="P18" s="2"/>
      <c r="Q18" s="2"/>
      <c r="R18" s="2"/>
      <c r="S18" s="1">
        <v>55</v>
      </c>
      <c r="T18" s="50">
        <v>3844.0436208811561</v>
      </c>
      <c r="U18" s="50">
        <v>4104.0436208811561</v>
      </c>
      <c r="V18" s="50">
        <v>4584.0436208811561</v>
      </c>
      <c r="W18" s="2"/>
      <c r="X18" s="2"/>
      <c r="Y18" s="2"/>
      <c r="Z18" s="2"/>
      <c r="AA18" s="2"/>
      <c r="AB18" s="1">
        <v>60</v>
      </c>
      <c r="AC18" s="50">
        <v>7147.0925303824815</v>
      </c>
      <c r="AD18" s="50">
        <v>7407.0925303824815</v>
      </c>
      <c r="AE18" s="50">
        <v>7887.0925303824815</v>
      </c>
      <c r="AF18" s="2"/>
      <c r="AG18" s="2"/>
      <c r="AH18" s="2"/>
      <c r="AI18" s="2"/>
      <c r="AJ18" s="2"/>
      <c r="AK18" s="2"/>
      <c r="AL18" s="2"/>
      <c r="AM18" s="2"/>
      <c r="AN18" s="2"/>
    </row>
    <row r="19" spans="1:40" x14ac:dyDescent="0.15">
      <c r="A19" s="2"/>
      <c r="B19" s="2"/>
      <c r="C19" s="1">
        <v>2000</v>
      </c>
      <c r="D19" s="1">
        <v>7440</v>
      </c>
      <c r="E19" s="1">
        <v>7960</v>
      </c>
      <c r="F19" s="1">
        <v>8920</v>
      </c>
      <c r="G19" s="2"/>
      <c r="H19" s="2"/>
      <c r="I19" s="2"/>
      <c r="J19" s="2"/>
      <c r="K19" s="1">
        <v>2000</v>
      </c>
      <c r="L19" s="2">
        <v>5720</v>
      </c>
      <c r="M19" s="2">
        <v>5980</v>
      </c>
      <c r="N19" s="2">
        <v>6460</v>
      </c>
      <c r="O19" s="2"/>
      <c r="P19" s="2"/>
      <c r="Q19" s="2"/>
      <c r="R19" s="2"/>
      <c r="S19" s="1">
        <v>60</v>
      </c>
      <c r="T19" s="50">
        <v>4019.9999999999995</v>
      </c>
      <c r="U19" s="50">
        <v>4280</v>
      </c>
      <c r="V19" s="50">
        <v>4760</v>
      </c>
      <c r="W19" s="2"/>
      <c r="X19" s="2"/>
      <c r="Y19" s="2"/>
      <c r="Z19" s="2"/>
      <c r="AA19" s="2"/>
      <c r="AB19" s="16"/>
      <c r="AC19" s="16"/>
      <c r="AD19" s="16"/>
      <c r="AE19" s="16"/>
      <c r="AF19" s="2"/>
      <c r="AG19" s="2"/>
      <c r="AH19" s="2"/>
      <c r="AI19" s="2"/>
      <c r="AJ19" s="2"/>
      <c r="AK19" s="2"/>
      <c r="AL19" s="2"/>
      <c r="AM19" s="2"/>
      <c r="AN19" s="2"/>
    </row>
    <row r="20" spans="1:40" x14ac:dyDescent="0.15">
      <c r="A20" s="2"/>
      <c r="B20" s="2"/>
      <c r="C20" s="1">
        <v>2100</v>
      </c>
      <c r="D20" s="1">
        <v>7640</v>
      </c>
      <c r="E20" s="1">
        <v>8160</v>
      </c>
      <c r="F20" s="1">
        <v>9120</v>
      </c>
      <c r="G20" s="2"/>
      <c r="H20" s="2"/>
      <c r="I20" s="2"/>
      <c r="J20" s="2"/>
      <c r="K20" s="1">
        <v>2100</v>
      </c>
      <c r="L20" s="2">
        <v>5920</v>
      </c>
      <c r="M20" s="2">
        <v>6180</v>
      </c>
      <c r="N20" s="2">
        <v>6660</v>
      </c>
      <c r="O20" s="2"/>
      <c r="P20" s="2"/>
      <c r="Q20" s="2"/>
      <c r="R20" s="2"/>
      <c r="S20" s="16"/>
      <c r="T20" s="16"/>
      <c r="U20" s="16"/>
      <c r="V20" s="16"/>
      <c r="W20" s="2"/>
      <c r="X20" s="2"/>
      <c r="Y20" s="2"/>
      <c r="Z20" s="2"/>
      <c r="AA20" s="2"/>
      <c r="AB20" s="2"/>
      <c r="AC20" s="2"/>
      <c r="AD20" s="2"/>
      <c r="AE20" s="2"/>
      <c r="AF20" s="2"/>
      <c r="AG20" s="2"/>
      <c r="AH20" s="2"/>
      <c r="AI20" s="2"/>
      <c r="AJ20" s="2"/>
      <c r="AK20" s="2"/>
      <c r="AL20" s="2"/>
      <c r="AM20" s="2"/>
      <c r="AN20" s="2"/>
    </row>
    <row r="21" spans="1:40" x14ac:dyDescent="0.15">
      <c r="A21" s="2"/>
      <c r="B21" s="2"/>
      <c r="C21" s="1">
        <v>2200</v>
      </c>
      <c r="D21" s="1">
        <v>7840</v>
      </c>
      <c r="E21" s="1">
        <v>8360</v>
      </c>
      <c r="F21" s="1">
        <v>9320</v>
      </c>
      <c r="G21" s="2"/>
      <c r="H21" s="2"/>
      <c r="I21" s="2"/>
      <c r="J21" s="2"/>
      <c r="K21" s="1">
        <v>2200</v>
      </c>
      <c r="L21" s="2">
        <v>6120</v>
      </c>
      <c r="M21" s="2">
        <v>6380</v>
      </c>
      <c r="N21" s="2">
        <v>6860</v>
      </c>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15">
      <c r="A22" s="2"/>
      <c r="B22" s="2"/>
      <c r="C22" s="1">
        <v>2300</v>
      </c>
      <c r="D22" s="1">
        <v>8040</v>
      </c>
      <c r="E22" s="1">
        <v>8560</v>
      </c>
      <c r="F22" s="1">
        <v>9520</v>
      </c>
      <c r="G22" s="2"/>
      <c r="H22" s="2"/>
      <c r="I22" s="2"/>
      <c r="J22" s="2"/>
      <c r="K22" s="1">
        <v>2300</v>
      </c>
      <c r="L22" s="2">
        <v>6320</v>
      </c>
      <c r="M22" s="2">
        <v>6580</v>
      </c>
      <c r="N22" s="2">
        <v>7060</v>
      </c>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15">
      <c r="A23" s="2"/>
      <c r="B23" s="2"/>
      <c r="C23" s="1">
        <v>2400</v>
      </c>
      <c r="D23" s="1">
        <v>8240</v>
      </c>
      <c r="E23" s="1">
        <v>8760</v>
      </c>
      <c r="F23" s="1">
        <v>9720</v>
      </c>
      <c r="G23" s="2"/>
      <c r="H23" s="2"/>
      <c r="I23" s="2"/>
      <c r="J23" s="2"/>
      <c r="K23" s="1">
        <v>2400</v>
      </c>
      <c r="L23" s="2">
        <v>6520</v>
      </c>
      <c r="M23" s="2">
        <v>6780</v>
      </c>
      <c r="N23" s="2">
        <v>7260</v>
      </c>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15">
      <c r="A24" s="2"/>
      <c r="B24" s="2"/>
      <c r="C24" s="1">
        <v>2500</v>
      </c>
      <c r="D24" s="1">
        <v>8440</v>
      </c>
      <c r="E24" s="1">
        <v>8960</v>
      </c>
      <c r="F24" s="1">
        <v>9920</v>
      </c>
      <c r="G24" s="2"/>
      <c r="H24" s="2"/>
      <c r="I24" s="2"/>
      <c r="J24" s="2"/>
      <c r="K24" s="1">
        <v>2500</v>
      </c>
      <c r="L24" s="2">
        <v>6720</v>
      </c>
      <c r="M24" s="2">
        <v>6980</v>
      </c>
      <c r="N24" s="2">
        <v>7460</v>
      </c>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15">
      <c r="A25" s="2"/>
      <c r="B25" s="2"/>
      <c r="C25" s="1">
        <v>2600</v>
      </c>
      <c r="D25" s="1">
        <v>8640</v>
      </c>
      <c r="E25" s="1">
        <v>9160</v>
      </c>
      <c r="F25" s="1">
        <v>10120</v>
      </c>
      <c r="G25" s="2"/>
      <c r="H25" s="2"/>
      <c r="I25" s="2"/>
      <c r="J25" s="2"/>
      <c r="K25" s="1">
        <v>2600</v>
      </c>
      <c r="L25" s="2">
        <v>6920</v>
      </c>
      <c r="M25" s="2">
        <v>7180</v>
      </c>
      <c r="N25" s="2">
        <v>7660</v>
      </c>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15">
      <c r="A26" s="2"/>
      <c r="B26" s="2"/>
      <c r="C26" s="1">
        <v>2700</v>
      </c>
      <c r="D26" s="1">
        <v>8840</v>
      </c>
      <c r="E26" s="1">
        <v>9360</v>
      </c>
      <c r="F26" s="1">
        <v>10320</v>
      </c>
      <c r="G26" s="2"/>
      <c r="H26" s="2"/>
      <c r="I26" s="2"/>
      <c r="J26" s="2"/>
      <c r="K26" s="1">
        <v>2700</v>
      </c>
      <c r="L26" s="2">
        <v>7120</v>
      </c>
      <c r="M26" s="2">
        <v>7380</v>
      </c>
      <c r="N26" s="2">
        <v>7860</v>
      </c>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15">
      <c r="A27" s="2"/>
      <c r="B27" s="2"/>
      <c r="C27" s="1">
        <v>2800</v>
      </c>
      <c r="D27" s="1">
        <v>9040</v>
      </c>
      <c r="E27" s="1">
        <v>9560</v>
      </c>
      <c r="F27" s="1">
        <v>10520</v>
      </c>
      <c r="G27" s="2"/>
      <c r="H27" s="2"/>
      <c r="I27" s="2"/>
      <c r="J27" s="2"/>
      <c r="K27" s="1">
        <v>2800</v>
      </c>
      <c r="L27" s="2">
        <v>7320</v>
      </c>
      <c r="M27" s="2">
        <v>7580</v>
      </c>
      <c r="N27" s="2">
        <v>8060</v>
      </c>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15">
      <c r="A28" s="2"/>
      <c r="B28" s="2"/>
      <c r="C28" s="1">
        <v>2900</v>
      </c>
      <c r="D28" s="1">
        <v>9240</v>
      </c>
      <c r="E28" s="1">
        <v>9760</v>
      </c>
      <c r="F28" s="1">
        <v>10720</v>
      </c>
      <c r="G28" s="2"/>
      <c r="H28" s="2"/>
      <c r="I28" s="2"/>
      <c r="J28" s="2"/>
      <c r="K28" s="1">
        <v>2900</v>
      </c>
      <c r="L28" s="2">
        <v>7520</v>
      </c>
      <c r="M28" s="2">
        <v>7780</v>
      </c>
      <c r="N28" s="2">
        <v>8260</v>
      </c>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15">
      <c r="A29" s="2"/>
      <c r="B29" s="2"/>
      <c r="C29" s="1">
        <v>3000</v>
      </c>
      <c r="D29" s="1">
        <v>9440</v>
      </c>
      <c r="E29" s="1">
        <v>9960</v>
      </c>
      <c r="F29" s="1">
        <v>10920</v>
      </c>
      <c r="G29" s="2"/>
      <c r="H29" s="2"/>
      <c r="I29" s="2"/>
      <c r="J29" s="2"/>
      <c r="K29" s="1">
        <v>3000</v>
      </c>
      <c r="L29" s="2">
        <v>7720</v>
      </c>
      <c r="M29" s="2">
        <v>7980</v>
      </c>
      <c r="N29" s="2">
        <v>8460</v>
      </c>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15">
      <c r="A30" s="2"/>
      <c r="B30" s="2"/>
      <c r="C30" s="16"/>
      <c r="D30" s="16"/>
      <c r="E30" s="16"/>
      <c r="F30" s="16"/>
      <c r="G30" s="2"/>
      <c r="H30" s="2"/>
      <c r="I30" s="2"/>
      <c r="J30" s="2"/>
      <c r="K30" s="16"/>
      <c r="L30" s="16"/>
      <c r="M30" s="16"/>
      <c r="N30" s="16"/>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15">
      <c r="A36" s="2" t="s">
        <v>1623</v>
      </c>
      <c r="B36" s="2"/>
      <c r="C36" s="2"/>
      <c r="D36" s="2" t="s">
        <v>1631</v>
      </c>
      <c r="E36" s="2"/>
      <c r="F36" s="2"/>
      <c r="G36" s="2"/>
      <c r="H36" s="2"/>
      <c r="I36" s="2"/>
      <c r="J36" s="2"/>
      <c r="K36" s="2"/>
      <c r="L36" s="2" t="s">
        <v>1632</v>
      </c>
      <c r="M36" s="2"/>
      <c r="N36" s="2"/>
      <c r="O36" s="2"/>
      <c r="P36" s="2"/>
      <c r="Q36" s="2"/>
      <c r="R36" s="2"/>
      <c r="S36" s="2"/>
      <c r="T36" s="2" t="s">
        <v>1633</v>
      </c>
      <c r="U36" s="2"/>
      <c r="V36" s="2"/>
      <c r="W36" s="2"/>
      <c r="X36" s="2"/>
      <c r="Y36" s="2"/>
      <c r="Z36" s="2"/>
      <c r="AA36" s="2"/>
      <c r="AC36" s="2" t="s">
        <v>1634</v>
      </c>
      <c r="AD36" s="2"/>
      <c r="AE36" s="2"/>
      <c r="AF36" s="2"/>
      <c r="AG36" s="2"/>
      <c r="AH36" s="2"/>
      <c r="AI36" s="2"/>
      <c r="AJ36" s="2"/>
      <c r="AK36" s="2"/>
      <c r="AL36" s="2" t="s">
        <v>1635</v>
      </c>
      <c r="AM36" s="2"/>
      <c r="AN36" s="2"/>
    </row>
    <row r="37" spans="1:40" x14ac:dyDescent="0.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15">
      <c r="A38" s="2" t="s">
        <v>1619</v>
      </c>
      <c r="B38" s="2"/>
      <c r="C38" s="1" t="s">
        <v>259</v>
      </c>
      <c r="D38" s="1">
        <v>50</v>
      </c>
      <c r="E38" s="1">
        <v>60</v>
      </c>
      <c r="F38" s="2"/>
      <c r="G38" s="2"/>
      <c r="H38" s="2"/>
      <c r="I38" s="2" t="s">
        <v>1620</v>
      </c>
      <c r="J38" s="2"/>
      <c r="K38" s="1" t="s">
        <v>259</v>
      </c>
      <c r="L38" s="1">
        <v>50</v>
      </c>
      <c r="M38" s="1">
        <v>60</v>
      </c>
      <c r="N38" s="2"/>
      <c r="O38" s="2"/>
      <c r="P38" s="2"/>
      <c r="Q38" s="2" t="s">
        <v>260</v>
      </c>
      <c r="R38" s="2" t="s">
        <v>1621</v>
      </c>
      <c r="S38" s="1" t="s">
        <v>265</v>
      </c>
      <c r="T38" s="1">
        <v>50</v>
      </c>
      <c r="U38" s="1">
        <v>60</v>
      </c>
      <c r="V38" s="1"/>
      <c r="W38" s="2"/>
      <c r="X38" s="2"/>
      <c r="Y38" s="2"/>
      <c r="Z38" s="2" t="s">
        <v>260</v>
      </c>
      <c r="AA38" s="2" t="s">
        <v>1622</v>
      </c>
      <c r="AB38" s="1" t="s">
        <v>265</v>
      </c>
      <c r="AC38" s="1">
        <v>50</v>
      </c>
      <c r="AD38" s="1">
        <v>60</v>
      </c>
      <c r="AE38" s="1"/>
      <c r="AF38" s="2"/>
      <c r="AG38" s="2"/>
      <c r="AH38" s="2"/>
      <c r="AI38" s="2"/>
      <c r="AJ38" s="2"/>
      <c r="AK38" s="2"/>
      <c r="AL38" s="1">
        <v>50</v>
      </c>
      <c r="AM38" s="1">
        <v>60</v>
      </c>
      <c r="AN38" s="2"/>
    </row>
    <row r="39" spans="1:40" x14ac:dyDescent="0.15">
      <c r="A39" s="2"/>
      <c r="B39" s="2"/>
      <c r="C39" s="1">
        <v>1000</v>
      </c>
      <c r="D39" s="1">
        <v>4920</v>
      </c>
      <c r="E39" s="1">
        <v>5520</v>
      </c>
      <c r="F39" s="2"/>
      <c r="G39" s="2"/>
      <c r="H39" s="2"/>
      <c r="I39" s="2"/>
      <c r="J39" s="2"/>
      <c r="K39" s="1">
        <v>1000</v>
      </c>
      <c r="L39" s="2">
        <v>4920</v>
      </c>
      <c r="M39" s="2">
        <v>5520</v>
      </c>
      <c r="N39" s="2"/>
      <c r="O39" s="2"/>
      <c r="P39" s="2"/>
      <c r="Q39" s="2"/>
      <c r="R39" s="2"/>
      <c r="S39" s="1">
        <v>10</v>
      </c>
      <c r="T39" s="50">
        <v>3408.0721593868857</v>
      </c>
      <c r="U39" s="50">
        <v>4008.0721593868857</v>
      </c>
      <c r="V39" s="2"/>
      <c r="W39" s="2"/>
      <c r="X39" s="2"/>
      <c r="Y39" s="2"/>
      <c r="Z39" s="2"/>
      <c r="AA39" s="2"/>
      <c r="AB39" s="1">
        <v>15</v>
      </c>
      <c r="AC39" s="50">
        <v>4552.4909700837088</v>
      </c>
      <c r="AD39" s="50">
        <v>5152.4909700837088</v>
      </c>
      <c r="AE39" s="2"/>
      <c r="AF39" s="2"/>
      <c r="AG39" s="2"/>
      <c r="AH39" s="2"/>
      <c r="AI39" s="2"/>
      <c r="AJ39" s="2"/>
      <c r="AK39" s="2" t="s">
        <v>1643</v>
      </c>
      <c r="AL39" s="1">
        <f>2*2*(700+560)+2*2*(588+470)+2*2*(700+1038)</f>
        <v>16224</v>
      </c>
      <c r="AM39" s="1">
        <f>2*2*(820+560)+2*2*(588+470)+2*2*(820+1038)</f>
        <v>17184</v>
      </c>
      <c r="AN39" s="2"/>
    </row>
    <row r="40" spans="1:40" x14ac:dyDescent="0.15">
      <c r="A40" s="2"/>
      <c r="B40" s="2"/>
      <c r="C40" s="1">
        <v>1100</v>
      </c>
      <c r="D40" s="1">
        <v>8040</v>
      </c>
      <c r="E40" s="1">
        <v>9240</v>
      </c>
      <c r="F40" s="2"/>
      <c r="G40" s="2"/>
      <c r="H40" s="2"/>
      <c r="I40" s="2"/>
      <c r="J40" s="2"/>
      <c r="K40" s="1">
        <v>1100</v>
      </c>
      <c r="L40" s="2">
        <v>5120</v>
      </c>
      <c r="M40" s="2">
        <v>5720</v>
      </c>
      <c r="N40" s="2"/>
      <c r="O40" s="2"/>
      <c r="P40" s="2"/>
      <c r="Q40" s="2"/>
      <c r="R40" s="2"/>
      <c r="S40" s="1">
        <v>15</v>
      </c>
      <c r="T40" s="50">
        <v>3650.9466764322888</v>
      </c>
      <c r="U40" s="50">
        <v>4250.9466764322888</v>
      </c>
      <c r="V40" s="2"/>
      <c r="W40" s="2"/>
      <c r="X40" s="2"/>
      <c r="Y40" s="2"/>
      <c r="Z40" s="2"/>
      <c r="AA40" s="2"/>
      <c r="AB40" s="1">
        <v>20</v>
      </c>
      <c r="AC40" s="50">
        <v>5106.4545607849659</v>
      </c>
      <c r="AD40" s="50">
        <v>5706.4545607849659</v>
      </c>
      <c r="AE40" s="2"/>
      <c r="AF40" s="2"/>
      <c r="AG40" s="2"/>
      <c r="AH40" s="2"/>
      <c r="AI40" s="2"/>
      <c r="AJ40" s="2"/>
      <c r="AK40" s="2"/>
      <c r="AL40" s="1"/>
      <c r="AM40" s="1"/>
      <c r="AN40" s="2"/>
    </row>
    <row r="41" spans="1:40" x14ac:dyDescent="0.15">
      <c r="A41" s="2"/>
      <c r="B41" s="2"/>
      <c r="C41" s="1">
        <v>1200</v>
      </c>
      <c r="D41" s="1">
        <v>8240</v>
      </c>
      <c r="E41" s="1">
        <v>9440</v>
      </c>
      <c r="F41" s="2"/>
      <c r="G41" s="2"/>
      <c r="H41" s="2"/>
      <c r="I41" s="2"/>
      <c r="J41" s="2"/>
      <c r="K41" s="1">
        <v>1200</v>
      </c>
      <c r="L41" s="2">
        <v>5320</v>
      </c>
      <c r="M41" s="2">
        <v>5920</v>
      </c>
      <c r="N41" s="2"/>
      <c r="O41" s="2"/>
      <c r="P41" s="2"/>
      <c r="Q41" s="2"/>
      <c r="R41" s="2"/>
      <c r="S41" s="1">
        <v>20</v>
      </c>
      <c r="T41" s="50">
        <v>3892.4297949348097</v>
      </c>
      <c r="U41" s="50">
        <v>4492.4297949348102</v>
      </c>
      <c r="V41" s="2"/>
      <c r="W41" s="2"/>
      <c r="X41" s="2"/>
      <c r="Y41" s="2"/>
      <c r="Z41" s="2"/>
      <c r="AA41" s="2"/>
      <c r="AB41" s="1">
        <v>25</v>
      </c>
      <c r="AC41" s="50">
        <v>5669.0138167724544</v>
      </c>
      <c r="AD41" s="50">
        <v>6269.0138167724544</v>
      </c>
      <c r="AE41" s="2"/>
      <c r="AF41" s="2"/>
      <c r="AG41" s="2"/>
      <c r="AH41" s="2"/>
      <c r="AI41" s="2"/>
      <c r="AJ41" s="2"/>
      <c r="AK41" s="2"/>
      <c r="AL41" s="2"/>
      <c r="AM41" s="2"/>
      <c r="AN41" s="2"/>
    </row>
    <row r="42" spans="1:40" x14ac:dyDescent="0.15">
      <c r="A42" s="2"/>
      <c r="B42" s="2"/>
      <c r="C42" s="1">
        <v>1300</v>
      </c>
      <c r="D42" s="1">
        <v>8440</v>
      </c>
      <c r="E42" s="1">
        <v>9640</v>
      </c>
      <c r="F42" s="2"/>
      <c r="G42" s="2"/>
      <c r="H42" s="2"/>
      <c r="I42" s="2"/>
      <c r="J42" s="2"/>
      <c r="K42" s="1">
        <v>1300</v>
      </c>
      <c r="L42" s="2">
        <v>5520</v>
      </c>
      <c r="M42" s="2">
        <v>6120</v>
      </c>
      <c r="N42" s="2"/>
      <c r="O42" s="2"/>
      <c r="P42" s="2"/>
      <c r="Q42" s="2"/>
      <c r="R42" s="2"/>
      <c r="S42" s="1">
        <v>25</v>
      </c>
      <c r="T42" s="50">
        <v>4132.0618380533761</v>
      </c>
      <c r="U42" s="50">
        <v>4732.0618380533761</v>
      </c>
      <c r="V42" s="2"/>
      <c r="W42" s="2"/>
      <c r="X42" s="2"/>
      <c r="Y42" s="2"/>
      <c r="Z42" s="2"/>
      <c r="AA42" s="2"/>
      <c r="AB42" s="1">
        <v>30</v>
      </c>
      <c r="AC42" s="50">
        <v>6242.5699861459216</v>
      </c>
      <c r="AD42" s="50">
        <v>6842.5699861459216</v>
      </c>
      <c r="AE42" s="2"/>
      <c r="AF42" s="2"/>
      <c r="AG42" s="2"/>
      <c r="AH42" s="2"/>
      <c r="AI42" s="2"/>
      <c r="AJ42" s="2"/>
      <c r="AK42" s="2"/>
      <c r="AL42" s="2"/>
      <c r="AM42" s="2"/>
      <c r="AN42" s="2"/>
    </row>
    <row r="43" spans="1:40" x14ac:dyDescent="0.15">
      <c r="A43" s="2"/>
      <c r="B43" s="2"/>
      <c r="C43" s="1">
        <v>1400</v>
      </c>
      <c r="D43" s="1">
        <v>8640</v>
      </c>
      <c r="E43" s="1">
        <v>9840</v>
      </c>
      <c r="F43" s="2"/>
      <c r="G43" s="2"/>
      <c r="H43" s="2"/>
      <c r="I43" s="2"/>
      <c r="J43" s="2"/>
      <c r="K43" s="1">
        <v>1400</v>
      </c>
      <c r="L43" s="2">
        <v>5720</v>
      </c>
      <c r="M43" s="2">
        <v>6320</v>
      </c>
      <c r="N43" s="2"/>
      <c r="O43" s="2"/>
      <c r="P43" s="2"/>
      <c r="Q43" s="2"/>
      <c r="R43" s="2"/>
      <c r="S43" s="1">
        <v>30</v>
      </c>
      <c r="T43" s="50">
        <v>4369.3866525741159</v>
      </c>
      <c r="U43" s="50">
        <v>4969.3866525741159</v>
      </c>
      <c r="V43" s="2"/>
      <c r="W43" s="2"/>
      <c r="X43" s="2"/>
      <c r="Y43" s="2"/>
      <c r="Z43" s="2"/>
      <c r="AA43" s="2"/>
      <c r="AB43" s="1">
        <v>35</v>
      </c>
      <c r="AC43" s="50">
        <v>6829.7049820993952</v>
      </c>
      <c r="AD43" s="50">
        <v>7429.7049820993952</v>
      </c>
      <c r="AE43" s="2"/>
      <c r="AF43" s="2"/>
      <c r="AG43" s="2"/>
      <c r="AH43" s="2"/>
      <c r="AI43" s="2"/>
      <c r="AJ43" s="2"/>
      <c r="AK43" s="2"/>
      <c r="AL43" s="2" t="s">
        <v>1636</v>
      </c>
      <c r="AM43" s="2"/>
      <c r="AN43" s="2"/>
    </row>
    <row r="44" spans="1:40" x14ac:dyDescent="0.15">
      <c r="A44" s="2"/>
      <c r="B44" s="2"/>
      <c r="C44" s="1">
        <v>1500</v>
      </c>
      <c r="D44" s="1">
        <v>8840</v>
      </c>
      <c r="E44" s="1">
        <v>10040</v>
      </c>
      <c r="F44" s="2"/>
      <c r="G44" s="2"/>
      <c r="H44" s="2"/>
      <c r="I44" s="2"/>
      <c r="J44" s="2"/>
      <c r="K44" s="1">
        <v>1500</v>
      </c>
      <c r="L44" s="2">
        <v>5920</v>
      </c>
      <c r="M44" s="2">
        <v>6520</v>
      </c>
      <c r="N44" s="2"/>
      <c r="O44" s="2"/>
      <c r="P44" s="2"/>
      <c r="Q44" s="2"/>
      <c r="R44" s="2"/>
      <c r="S44" s="1">
        <v>35</v>
      </c>
      <c r="T44" s="50">
        <v>4603.9524772239292</v>
      </c>
      <c r="U44" s="50">
        <v>5203.9524772239292</v>
      </c>
      <c r="V44" s="2"/>
      <c r="W44" s="2"/>
      <c r="X44" s="2"/>
      <c r="Y44" s="2"/>
      <c r="Z44" s="2"/>
      <c r="AA44" s="2"/>
      <c r="AB44" s="1">
        <v>40</v>
      </c>
      <c r="AC44" s="50">
        <v>7433.2309049009091</v>
      </c>
      <c r="AD44" s="50">
        <v>8033.2309049009091</v>
      </c>
      <c r="AE44" s="2"/>
      <c r="AF44" s="2"/>
      <c r="AG44" s="2"/>
      <c r="AH44" s="2"/>
      <c r="AI44" s="2"/>
      <c r="AJ44" s="2"/>
      <c r="AK44" s="2"/>
      <c r="AL44" s="2"/>
      <c r="AM44" s="2"/>
      <c r="AN44" s="2"/>
    </row>
    <row r="45" spans="1:40" x14ac:dyDescent="0.15">
      <c r="A45" s="2"/>
      <c r="B45" s="2"/>
      <c r="C45" s="1">
        <v>1600</v>
      </c>
      <c r="D45" s="1">
        <v>9040</v>
      </c>
      <c r="E45" s="1">
        <v>10240</v>
      </c>
      <c r="F45" s="2"/>
      <c r="G45" s="2"/>
      <c r="H45" s="2"/>
      <c r="I45" s="2"/>
      <c r="J45" s="2"/>
      <c r="K45" s="1">
        <v>1600</v>
      </c>
      <c r="L45" s="2">
        <v>6120</v>
      </c>
      <c r="M45" s="2">
        <v>6720</v>
      </c>
      <c r="N45" s="2"/>
      <c r="O45" s="2"/>
      <c r="P45" s="2"/>
      <c r="Q45" s="2"/>
      <c r="R45" s="2"/>
      <c r="S45" s="1">
        <v>40</v>
      </c>
      <c r="T45" s="50">
        <v>4835.3128026237446</v>
      </c>
      <c r="U45" s="50">
        <v>5435.3128026237446</v>
      </c>
      <c r="V45" s="2"/>
      <c r="W45" s="2"/>
      <c r="X45" s="2"/>
      <c r="Y45" s="2"/>
      <c r="Z45" s="2"/>
      <c r="AA45" s="2"/>
      <c r="AB45" s="1">
        <v>45</v>
      </c>
      <c r="AC45" s="50">
        <v>8056.2481734263783</v>
      </c>
      <c r="AD45" s="50">
        <v>8656.2481734263783</v>
      </c>
      <c r="AE45" s="2"/>
      <c r="AF45" s="2"/>
      <c r="AG45" s="2"/>
      <c r="AH45" s="2"/>
      <c r="AI45" s="2"/>
      <c r="AJ45" s="2"/>
      <c r="AK45" s="2"/>
      <c r="AL45" s="1">
        <v>50</v>
      </c>
      <c r="AM45" s="1">
        <v>60</v>
      </c>
      <c r="AN45" s="2"/>
    </row>
    <row r="46" spans="1:40" x14ac:dyDescent="0.15">
      <c r="A46" s="2"/>
      <c r="B46" s="2"/>
      <c r="C46" s="1">
        <v>1700</v>
      </c>
      <c r="D46" s="1">
        <v>9240</v>
      </c>
      <c r="E46" s="1">
        <v>10440</v>
      </c>
      <c r="F46" s="2"/>
      <c r="G46" s="2"/>
      <c r="H46" s="2"/>
      <c r="I46" s="2"/>
      <c r="J46" s="2"/>
      <c r="K46" s="1">
        <v>1700</v>
      </c>
      <c r="L46" s="2">
        <v>6320</v>
      </c>
      <c r="M46" s="2">
        <v>6920</v>
      </c>
      <c r="N46" s="2"/>
      <c r="O46" s="2"/>
      <c r="P46" s="2"/>
      <c r="Q46" s="2"/>
      <c r="R46" s="2"/>
      <c r="S46" s="1">
        <v>45</v>
      </c>
      <c r="T46" s="50">
        <v>5063.0272212445034</v>
      </c>
      <c r="U46" s="50">
        <v>5663.0272212445034</v>
      </c>
      <c r="V46" s="2"/>
      <c r="W46" s="2"/>
      <c r="X46" s="2"/>
      <c r="Y46" s="2"/>
      <c r="Z46" s="2"/>
      <c r="AA46" s="2"/>
      <c r="AB46" s="1">
        <v>50</v>
      </c>
      <c r="AC46" s="50">
        <v>8702.2149611219829</v>
      </c>
      <c r="AD46" s="50">
        <v>9302.2149611219829</v>
      </c>
      <c r="AE46" s="2"/>
      <c r="AF46" s="2"/>
      <c r="AG46" s="2"/>
      <c r="AH46" s="2"/>
      <c r="AI46" s="2"/>
      <c r="AJ46" s="2"/>
      <c r="AK46" s="2" t="s">
        <v>1644</v>
      </c>
      <c r="AL46" s="1">
        <v>19216</v>
      </c>
      <c r="AM46" s="1">
        <v>21176</v>
      </c>
      <c r="AN46" s="2"/>
    </row>
    <row r="47" spans="1:40" x14ac:dyDescent="0.15">
      <c r="A47" s="2"/>
      <c r="B47" s="2"/>
      <c r="C47" s="1">
        <v>1800</v>
      </c>
      <c r="D47" s="1">
        <v>9440</v>
      </c>
      <c r="E47" s="1">
        <v>10640</v>
      </c>
      <c r="F47" s="2"/>
      <c r="G47" s="2"/>
      <c r="H47" s="2"/>
      <c r="I47" s="2"/>
      <c r="J47" s="2"/>
      <c r="K47" s="1">
        <v>1800</v>
      </c>
      <c r="L47" s="2">
        <v>6520</v>
      </c>
      <c r="M47" s="2">
        <v>7120</v>
      </c>
      <c r="N47" s="2"/>
      <c r="O47" s="2"/>
      <c r="P47" s="2"/>
      <c r="Q47" s="2"/>
      <c r="R47" s="2"/>
      <c r="S47" s="1">
        <v>50</v>
      </c>
      <c r="T47" s="50">
        <v>5286.6622657479165</v>
      </c>
      <c r="U47" s="50">
        <v>5886.6622657479165</v>
      </c>
      <c r="V47" s="2"/>
      <c r="W47" s="2"/>
      <c r="X47" s="2"/>
      <c r="Y47" s="2"/>
      <c r="Z47" s="2"/>
      <c r="AA47" s="2"/>
      <c r="AB47" s="1">
        <v>55</v>
      </c>
      <c r="AC47" s="50">
        <v>9375.0314268416532</v>
      </c>
      <c r="AD47" s="50">
        <v>9975.0314268416532</v>
      </c>
      <c r="AE47" s="2"/>
      <c r="AF47" s="2"/>
      <c r="AG47" s="2"/>
      <c r="AH47" s="2"/>
      <c r="AI47" s="2"/>
      <c r="AJ47" s="2"/>
      <c r="AK47" s="2"/>
      <c r="AL47" s="2"/>
      <c r="AM47" s="2"/>
      <c r="AN47" s="2"/>
    </row>
    <row r="48" spans="1:40" x14ac:dyDescent="0.15">
      <c r="A48" s="2"/>
      <c r="B48" s="2"/>
      <c r="C48" s="1">
        <v>1900</v>
      </c>
      <c r="D48" s="1">
        <v>9640</v>
      </c>
      <c r="E48" s="1">
        <v>10840</v>
      </c>
      <c r="F48" s="2"/>
      <c r="G48" s="2"/>
      <c r="H48" s="2"/>
      <c r="I48" s="2"/>
      <c r="J48" s="2"/>
      <c r="K48" s="1">
        <v>1900</v>
      </c>
      <c r="L48" s="2">
        <v>6720</v>
      </c>
      <c r="M48" s="2">
        <v>7320</v>
      </c>
      <c r="N48" s="2"/>
      <c r="O48" s="2"/>
      <c r="P48" s="2"/>
      <c r="Q48" s="2"/>
      <c r="R48" s="2"/>
      <c r="S48" s="1">
        <v>55</v>
      </c>
      <c r="T48" s="50">
        <v>5505.7922341161902</v>
      </c>
      <c r="U48" s="50">
        <v>6105.7922341161902</v>
      </c>
      <c r="V48" s="2"/>
      <c r="W48" s="2"/>
      <c r="X48" s="2"/>
      <c r="Y48" s="2"/>
      <c r="Z48" s="2"/>
      <c r="AA48" s="2"/>
      <c r="AB48" s="1">
        <v>60</v>
      </c>
      <c r="AC48" s="50">
        <v>10079.143337951358</v>
      </c>
      <c r="AD48" s="50">
        <v>10679.143337951358</v>
      </c>
      <c r="AE48" s="2"/>
      <c r="AF48" s="2"/>
      <c r="AG48" s="2"/>
      <c r="AH48" s="2"/>
      <c r="AI48" s="2"/>
      <c r="AJ48" s="2"/>
      <c r="AK48" s="2"/>
      <c r="AL48" s="2"/>
      <c r="AM48" s="2"/>
      <c r="AN48" s="2"/>
    </row>
    <row r="49" spans="1:40" x14ac:dyDescent="0.15">
      <c r="A49" s="2"/>
      <c r="B49" s="2"/>
      <c r="C49" s="1">
        <v>2000</v>
      </c>
      <c r="D49" s="1">
        <v>9840</v>
      </c>
      <c r="E49" s="1">
        <v>11040</v>
      </c>
      <c r="F49" s="2"/>
      <c r="G49" s="2"/>
      <c r="H49" s="2"/>
      <c r="I49" s="2"/>
      <c r="J49" s="2"/>
      <c r="K49" s="1">
        <v>2000</v>
      </c>
      <c r="L49" s="2">
        <v>6920</v>
      </c>
      <c r="M49" s="2">
        <v>7520</v>
      </c>
      <c r="N49" s="2"/>
      <c r="O49" s="2"/>
      <c r="P49" s="2"/>
      <c r="Q49" s="2"/>
      <c r="R49" s="2"/>
      <c r="S49" s="1">
        <v>60</v>
      </c>
      <c r="T49" s="50">
        <v>5720</v>
      </c>
      <c r="U49" s="50">
        <v>6320</v>
      </c>
      <c r="V49" s="2"/>
      <c r="W49" s="2"/>
      <c r="X49" s="2"/>
      <c r="Y49" s="2"/>
      <c r="Z49" s="2"/>
      <c r="AA49" s="2"/>
      <c r="AB49" s="16"/>
      <c r="AC49" s="16"/>
      <c r="AD49" s="16"/>
      <c r="AE49" s="2"/>
      <c r="AF49" s="2"/>
      <c r="AG49" s="2"/>
      <c r="AH49" s="2"/>
      <c r="AI49" s="2"/>
      <c r="AJ49" s="2"/>
      <c r="AK49" s="2"/>
      <c r="AL49" s="2"/>
      <c r="AM49" s="2"/>
      <c r="AN49" s="2"/>
    </row>
    <row r="50" spans="1:40" x14ac:dyDescent="0.15">
      <c r="A50" s="2"/>
      <c r="B50" s="2"/>
      <c r="C50" s="1">
        <v>2100</v>
      </c>
      <c r="D50" s="1">
        <v>12960</v>
      </c>
      <c r="E50" s="1">
        <v>14760</v>
      </c>
      <c r="F50" s="2"/>
      <c r="G50" s="2"/>
      <c r="H50" s="2"/>
      <c r="I50" s="2"/>
      <c r="J50" s="2"/>
      <c r="K50" s="1">
        <v>2100</v>
      </c>
      <c r="L50" s="2">
        <v>7120</v>
      </c>
      <c r="M50" s="2">
        <v>7720</v>
      </c>
      <c r="N50" s="2"/>
      <c r="O50" s="2"/>
      <c r="P50" s="2"/>
      <c r="Q50" s="2"/>
      <c r="R50" s="2"/>
      <c r="S50" s="16"/>
      <c r="T50" s="16"/>
      <c r="U50" s="16"/>
      <c r="V50" s="2"/>
      <c r="W50" s="2"/>
      <c r="X50" s="2"/>
      <c r="Y50" s="2"/>
      <c r="Z50" s="2"/>
      <c r="AA50" s="2"/>
      <c r="AB50" s="2"/>
      <c r="AC50" s="2"/>
      <c r="AD50" s="2"/>
      <c r="AE50" s="2"/>
      <c r="AF50" s="2"/>
      <c r="AG50" s="2"/>
      <c r="AH50" s="2"/>
      <c r="AI50" s="2"/>
      <c r="AJ50" s="2"/>
      <c r="AK50" s="2"/>
      <c r="AL50" s="2"/>
      <c r="AM50" s="2"/>
      <c r="AN50" s="2"/>
    </row>
    <row r="51" spans="1:40" x14ac:dyDescent="0.15">
      <c r="A51" s="2"/>
      <c r="B51" s="2"/>
      <c r="C51" s="1">
        <v>2200</v>
      </c>
      <c r="D51" s="1">
        <v>13158</v>
      </c>
      <c r="E51" s="1">
        <v>14958</v>
      </c>
      <c r="F51" s="2"/>
      <c r="G51" s="2"/>
      <c r="H51" s="2"/>
      <c r="I51" s="2"/>
      <c r="J51" s="2"/>
      <c r="K51" s="1">
        <v>2200</v>
      </c>
      <c r="L51" s="2">
        <v>7320</v>
      </c>
      <c r="M51" s="2">
        <v>7920</v>
      </c>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15">
      <c r="A52" s="2"/>
      <c r="B52" s="2"/>
      <c r="C52" s="1">
        <v>2300</v>
      </c>
      <c r="D52" s="1">
        <v>13356</v>
      </c>
      <c r="E52" s="1">
        <v>15156</v>
      </c>
      <c r="F52" s="2"/>
      <c r="G52" s="2"/>
      <c r="H52" s="2"/>
      <c r="I52" s="2"/>
      <c r="J52" s="2"/>
      <c r="K52" s="1">
        <v>2300</v>
      </c>
      <c r="L52" s="2">
        <v>7520</v>
      </c>
      <c r="M52" s="2">
        <v>8120</v>
      </c>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15">
      <c r="A53" s="2"/>
      <c r="B53" s="2"/>
      <c r="C53" s="1">
        <v>2400</v>
      </c>
      <c r="D53" s="1">
        <v>13560</v>
      </c>
      <c r="E53" s="1">
        <v>15360</v>
      </c>
      <c r="F53" s="2"/>
      <c r="G53" s="2"/>
      <c r="H53" s="2"/>
      <c r="I53" s="2"/>
      <c r="J53" s="2"/>
      <c r="K53" s="1">
        <v>2400</v>
      </c>
      <c r="L53" s="2">
        <v>7720</v>
      </c>
      <c r="M53" s="2">
        <v>8320</v>
      </c>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15">
      <c r="A54" s="2"/>
      <c r="B54" s="2"/>
      <c r="C54" s="1">
        <v>2500</v>
      </c>
      <c r="D54" s="1">
        <v>13758</v>
      </c>
      <c r="E54" s="1">
        <v>15558</v>
      </c>
      <c r="F54" s="2"/>
      <c r="G54" s="2"/>
      <c r="H54" s="2"/>
      <c r="I54" s="2"/>
      <c r="J54" s="2"/>
      <c r="K54" s="1">
        <v>2500</v>
      </c>
      <c r="L54" s="2">
        <v>7920</v>
      </c>
      <c r="M54" s="2">
        <v>8520</v>
      </c>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15">
      <c r="A55" s="2"/>
      <c r="B55" s="2"/>
      <c r="C55" s="1">
        <v>2600</v>
      </c>
      <c r="D55" s="1">
        <v>13956</v>
      </c>
      <c r="E55" s="1">
        <v>15756</v>
      </c>
      <c r="F55" s="2"/>
      <c r="G55" s="2"/>
      <c r="H55" s="2"/>
      <c r="I55" s="2"/>
      <c r="J55" s="2"/>
      <c r="K55" s="1">
        <v>2600</v>
      </c>
      <c r="L55" s="2">
        <v>8120</v>
      </c>
      <c r="M55" s="2">
        <v>8720</v>
      </c>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15">
      <c r="A56" s="2"/>
      <c r="B56" s="2"/>
      <c r="C56" s="1">
        <v>2700</v>
      </c>
      <c r="D56" s="1">
        <v>14160</v>
      </c>
      <c r="E56" s="1">
        <v>15960</v>
      </c>
      <c r="F56" s="2"/>
      <c r="G56" s="2"/>
      <c r="H56" s="2"/>
      <c r="I56" s="2"/>
      <c r="J56" s="2"/>
      <c r="K56" s="1">
        <v>2700</v>
      </c>
      <c r="L56" s="2">
        <v>8320</v>
      </c>
      <c r="M56" s="2">
        <v>8920</v>
      </c>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15">
      <c r="A57" s="2"/>
      <c r="B57" s="2"/>
      <c r="C57" s="1">
        <v>2800</v>
      </c>
      <c r="D57" s="1">
        <v>14358</v>
      </c>
      <c r="E57" s="1">
        <v>16158</v>
      </c>
      <c r="F57" s="2"/>
      <c r="G57" s="2"/>
      <c r="H57" s="2"/>
      <c r="I57" s="2"/>
      <c r="J57" s="2"/>
      <c r="K57" s="1">
        <v>2800</v>
      </c>
      <c r="L57" s="2">
        <v>8520</v>
      </c>
      <c r="M57" s="2">
        <v>9120</v>
      </c>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15">
      <c r="A58" s="2"/>
      <c r="B58" s="2"/>
      <c r="C58" s="1">
        <v>2900</v>
      </c>
      <c r="D58" s="1">
        <v>14556</v>
      </c>
      <c r="E58" s="1">
        <v>16356</v>
      </c>
      <c r="F58" s="2"/>
      <c r="G58" s="2"/>
      <c r="H58" s="2"/>
      <c r="I58" s="2"/>
      <c r="J58" s="2"/>
      <c r="K58" s="1">
        <v>2900</v>
      </c>
      <c r="L58" s="2">
        <v>8720</v>
      </c>
      <c r="M58" s="2">
        <v>9320</v>
      </c>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15">
      <c r="A59" s="2"/>
      <c r="B59" s="2"/>
      <c r="C59" s="1">
        <v>3000</v>
      </c>
      <c r="D59" s="1">
        <v>14760</v>
      </c>
      <c r="E59" s="1">
        <v>16560</v>
      </c>
      <c r="F59" s="2"/>
      <c r="G59" s="2"/>
      <c r="H59" s="2"/>
      <c r="I59" s="2"/>
      <c r="J59" s="2"/>
      <c r="K59" s="1">
        <v>3000</v>
      </c>
      <c r="L59" s="2">
        <v>8920</v>
      </c>
      <c r="M59" s="2">
        <v>9520</v>
      </c>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15">
      <c r="A60" s="2"/>
      <c r="B60" s="2"/>
      <c r="C60" s="16"/>
      <c r="D60" s="16"/>
      <c r="E60" s="16"/>
      <c r="F60" s="2"/>
      <c r="G60" s="2"/>
      <c r="H60" s="2"/>
      <c r="I60" s="2"/>
      <c r="J60" s="2"/>
      <c r="K60" s="16"/>
      <c r="L60" s="16"/>
      <c r="M60" s="16"/>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15">
      <c r="A66" s="2" t="s">
        <v>1624</v>
      </c>
      <c r="B66" s="2"/>
      <c r="C66" s="2"/>
      <c r="D66" s="2" t="s">
        <v>1637</v>
      </c>
      <c r="E66" s="2"/>
      <c r="F66" s="2"/>
      <c r="G66" s="2"/>
      <c r="H66" s="2"/>
      <c r="I66" s="2"/>
      <c r="J66" s="2"/>
      <c r="K66" s="2"/>
      <c r="L66" s="2" t="s">
        <v>1638</v>
      </c>
      <c r="M66" s="2"/>
      <c r="N66" s="2"/>
      <c r="O66" s="2"/>
      <c r="P66" s="2"/>
      <c r="Q66" s="2"/>
      <c r="R66" s="2"/>
      <c r="S66" s="2"/>
      <c r="T66" s="2" t="s">
        <v>1639</v>
      </c>
      <c r="U66" s="2"/>
      <c r="V66" s="2"/>
      <c r="W66" s="2"/>
      <c r="X66" s="2"/>
      <c r="Y66" s="2"/>
      <c r="Z66" s="2"/>
      <c r="AA66" s="2"/>
      <c r="AC66" s="2" t="s">
        <v>1640</v>
      </c>
      <c r="AD66" s="2"/>
      <c r="AE66" s="2"/>
      <c r="AF66" s="2"/>
      <c r="AG66" s="2"/>
      <c r="AH66" s="2"/>
      <c r="AI66" s="2"/>
      <c r="AJ66" s="2"/>
      <c r="AK66" s="2"/>
      <c r="AL66" s="2" t="s">
        <v>1641</v>
      </c>
      <c r="AM66" s="2"/>
      <c r="AN66" s="2"/>
    </row>
    <row r="67" spans="1:40" x14ac:dyDescent="0.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15">
      <c r="A68" s="2" t="s">
        <v>1619</v>
      </c>
      <c r="B68" s="2"/>
      <c r="C68" s="1" t="s">
        <v>259</v>
      </c>
      <c r="D68" s="1">
        <v>50</v>
      </c>
      <c r="E68" s="1">
        <v>60</v>
      </c>
      <c r="F68" s="1">
        <v>80</v>
      </c>
      <c r="G68" s="2"/>
      <c r="H68" s="2"/>
      <c r="I68" s="2" t="s">
        <v>1620</v>
      </c>
      <c r="J68" s="2"/>
      <c r="K68" s="1" t="s">
        <v>259</v>
      </c>
      <c r="L68" s="1">
        <v>50</v>
      </c>
      <c r="M68" s="1">
        <v>60</v>
      </c>
      <c r="N68" s="1">
        <v>80</v>
      </c>
      <c r="O68" s="2"/>
      <c r="P68" s="2"/>
      <c r="Q68" s="2" t="s">
        <v>260</v>
      </c>
      <c r="R68" s="2" t="s">
        <v>1621</v>
      </c>
      <c r="S68" s="1" t="s">
        <v>265</v>
      </c>
      <c r="T68" s="1">
        <v>50</v>
      </c>
      <c r="U68" s="1">
        <v>60</v>
      </c>
      <c r="V68" s="1">
        <v>80</v>
      </c>
      <c r="W68" s="2"/>
      <c r="X68" s="2"/>
      <c r="Y68" s="2"/>
      <c r="Z68" s="2" t="s">
        <v>260</v>
      </c>
      <c r="AA68" s="2" t="s">
        <v>1622</v>
      </c>
      <c r="AB68" s="1" t="s">
        <v>265</v>
      </c>
      <c r="AC68" s="1">
        <v>50</v>
      </c>
      <c r="AD68" s="1">
        <v>60</v>
      </c>
      <c r="AE68" s="1">
        <v>80</v>
      </c>
      <c r="AF68" s="2"/>
      <c r="AG68" s="2"/>
      <c r="AH68" s="2"/>
      <c r="AI68" s="2"/>
      <c r="AJ68" s="2"/>
      <c r="AK68" s="2"/>
      <c r="AL68" s="1">
        <v>50</v>
      </c>
      <c r="AM68" s="1">
        <v>60</v>
      </c>
      <c r="AN68" s="1">
        <v>80</v>
      </c>
    </row>
    <row r="69" spans="1:40" x14ac:dyDescent="0.15">
      <c r="A69" s="2"/>
      <c r="B69" s="2"/>
      <c r="C69" s="2">
        <v>1500</v>
      </c>
      <c r="D69" s="1">
        <v>8848</v>
      </c>
      <c r="E69" s="1">
        <v>10048</v>
      </c>
      <c r="F69" s="1">
        <v>11848</v>
      </c>
      <c r="G69" s="2"/>
      <c r="H69" s="2"/>
      <c r="I69" s="2"/>
      <c r="J69" s="2"/>
      <c r="K69" s="2">
        <v>1500</v>
      </c>
      <c r="L69" s="2">
        <v>5924</v>
      </c>
      <c r="M69" s="2">
        <v>6524</v>
      </c>
      <c r="N69" s="2">
        <v>7424</v>
      </c>
      <c r="O69" s="2"/>
      <c r="P69" s="2"/>
      <c r="Q69" s="2"/>
      <c r="R69" s="2"/>
      <c r="S69" s="1">
        <v>10</v>
      </c>
      <c r="T69" s="50">
        <v>3359.7787137382907</v>
      </c>
      <c r="U69" s="50">
        <v>3959.7787137382907</v>
      </c>
      <c r="V69" s="50">
        <v>4859.7787137382911</v>
      </c>
      <c r="W69" s="2"/>
      <c r="X69" s="2"/>
      <c r="Y69" s="2"/>
      <c r="Z69" s="2"/>
      <c r="AA69" s="2"/>
      <c r="AB69" s="1">
        <v>15</v>
      </c>
      <c r="AC69" s="50">
        <v>4635.4824686361462</v>
      </c>
      <c r="AD69" s="50">
        <v>5235.4824686361462</v>
      </c>
      <c r="AE69" s="50">
        <v>6135.4824686361462</v>
      </c>
      <c r="AF69" s="2"/>
      <c r="AG69" s="2"/>
      <c r="AH69" s="2"/>
      <c r="AI69" s="2"/>
      <c r="AJ69" s="2"/>
      <c r="AK69" s="2" t="s">
        <v>1643</v>
      </c>
      <c r="AL69" s="1">
        <f>2*(2*(580+710)+2*(598+480)+2*(710+1188))</f>
        <v>17064</v>
      </c>
      <c r="AM69" s="1">
        <f>2*(2*(580+830)+2*(598+480)+2*(830+1188))</f>
        <v>18024</v>
      </c>
      <c r="AN69" s="1">
        <f>2*(2*(580+1020)+2*(598+480)+2*(1020+1188))</f>
        <v>19544</v>
      </c>
    </row>
    <row r="70" spans="1:40" x14ac:dyDescent="0.15">
      <c r="A70" s="2"/>
      <c r="B70" s="2"/>
      <c r="C70" s="2">
        <v>1600</v>
      </c>
      <c r="D70" s="1">
        <v>9048</v>
      </c>
      <c r="E70" s="1">
        <v>10248</v>
      </c>
      <c r="F70" s="1">
        <v>12048</v>
      </c>
      <c r="G70" s="2"/>
      <c r="H70" s="2"/>
      <c r="I70" s="2"/>
      <c r="J70" s="2"/>
      <c r="K70" s="2">
        <v>1600</v>
      </c>
      <c r="L70" s="2">
        <v>6124</v>
      </c>
      <c r="M70" s="2">
        <v>6724</v>
      </c>
      <c r="N70" s="2">
        <v>7624</v>
      </c>
      <c r="O70" s="2"/>
      <c r="P70" s="2"/>
      <c r="Q70" s="2"/>
      <c r="R70" s="2"/>
      <c r="S70" s="1">
        <v>15</v>
      </c>
      <c r="T70" s="50">
        <v>3576.630961100258</v>
      </c>
      <c r="U70" s="50">
        <v>4176.630961100258</v>
      </c>
      <c r="V70" s="50">
        <v>5076.630961100258</v>
      </c>
      <c r="W70" s="2"/>
      <c r="X70" s="2"/>
      <c r="Y70" s="2"/>
      <c r="Z70" s="2"/>
      <c r="AA70" s="2"/>
      <c r="AB70" s="1">
        <v>20</v>
      </c>
      <c r="AC70" s="50">
        <v>5216.2507492100449</v>
      </c>
      <c r="AD70" s="50">
        <v>5816.2507492100449</v>
      </c>
      <c r="AE70" s="50">
        <v>6716.2507492100449</v>
      </c>
      <c r="AF70" s="2"/>
      <c r="AG70" s="2"/>
      <c r="AH70" s="2"/>
      <c r="AI70" s="2"/>
      <c r="AJ70" s="2"/>
    </row>
    <row r="71" spans="1:40" x14ac:dyDescent="0.15">
      <c r="A71" s="2"/>
      <c r="B71" s="2"/>
      <c r="C71" s="2">
        <v>1700</v>
      </c>
      <c r="D71" s="1">
        <v>9248</v>
      </c>
      <c r="E71" s="1">
        <v>10448</v>
      </c>
      <c r="F71" s="1">
        <v>12248</v>
      </c>
      <c r="G71" s="2"/>
      <c r="H71" s="2"/>
      <c r="I71" s="2"/>
      <c r="J71" s="2"/>
      <c r="K71" s="2">
        <v>1700</v>
      </c>
      <c r="L71" s="2">
        <v>6324</v>
      </c>
      <c r="M71" s="2">
        <v>6924</v>
      </c>
      <c r="N71" s="2">
        <v>7824</v>
      </c>
      <c r="O71" s="2"/>
      <c r="P71" s="2"/>
      <c r="Q71" s="2"/>
      <c r="R71" s="2"/>
      <c r="S71" s="1">
        <v>20</v>
      </c>
      <c r="T71" s="50">
        <v>3792.2408883346516</v>
      </c>
      <c r="U71" s="50">
        <v>4392.2408883346516</v>
      </c>
      <c r="V71" s="50">
        <v>5292.2408883346516</v>
      </c>
      <c r="W71" s="2"/>
      <c r="X71" s="2"/>
      <c r="Y71" s="2"/>
      <c r="Z71" s="2"/>
      <c r="AA71" s="2"/>
      <c r="AB71" s="1">
        <v>25</v>
      </c>
      <c r="AC71" s="50">
        <v>5806.0306143582184</v>
      </c>
      <c r="AD71" s="50">
        <v>6406.0306143582184</v>
      </c>
      <c r="AE71" s="50">
        <v>7306.0306143582184</v>
      </c>
      <c r="AF71" s="2"/>
      <c r="AG71" s="2"/>
      <c r="AH71" s="2"/>
      <c r="AI71" s="2"/>
      <c r="AJ71" s="2"/>
      <c r="AK71" s="2"/>
      <c r="AL71" s="2"/>
      <c r="AM71" s="2"/>
      <c r="AN71" s="2"/>
    </row>
    <row r="72" spans="1:40" x14ac:dyDescent="0.15">
      <c r="A72" s="2"/>
      <c r="B72" s="2"/>
      <c r="C72" s="2">
        <v>1800</v>
      </c>
      <c r="D72" s="1">
        <v>9448</v>
      </c>
      <c r="E72" s="1">
        <v>10648</v>
      </c>
      <c r="F72" s="1">
        <v>12448</v>
      </c>
      <c r="G72" s="2"/>
      <c r="H72" s="2"/>
      <c r="I72" s="2"/>
      <c r="J72" s="2"/>
      <c r="K72" s="2">
        <v>1800</v>
      </c>
      <c r="L72" s="2">
        <v>6524</v>
      </c>
      <c r="M72" s="2">
        <v>7124</v>
      </c>
      <c r="N72" s="2">
        <v>8024</v>
      </c>
      <c r="O72" s="2"/>
      <c r="P72" s="2"/>
      <c r="Q72" s="2"/>
      <c r="R72" s="2"/>
      <c r="S72" s="1">
        <v>25</v>
      </c>
      <c r="T72" s="50">
        <v>4006.1980696905143</v>
      </c>
      <c r="U72" s="50">
        <v>4606.1980696905139</v>
      </c>
      <c r="V72" s="50">
        <v>5506.1980696905139</v>
      </c>
      <c r="W72" s="2"/>
      <c r="X72" s="2"/>
      <c r="Y72" s="2"/>
      <c r="Z72" s="2"/>
      <c r="AA72" s="2"/>
      <c r="AB72" s="1">
        <v>30</v>
      </c>
      <c r="AC72" s="50">
        <v>6407.3395016045952</v>
      </c>
      <c r="AD72" s="50">
        <v>7007.3395016045952</v>
      </c>
      <c r="AE72" s="50">
        <v>7907.3395016045952</v>
      </c>
      <c r="AF72" s="2"/>
      <c r="AG72" s="2"/>
      <c r="AH72" s="2"/>
      <c r="AI72" s="2"/>
      <c r="AJ72" s="2"/>
      <c r="AK72" s="2"/>
      <c r="AL72" s="2"/>
      <c r="AM72" s="2"/>
      <c r="AN72" s="2"/>
    </row>
    <row r="73" spans="1:40" x14ac:dyDescent="0.15">
      <c r="A73" s="2"/>
      <c r="B73" s="2"/>
      <c r="C73" s="2">
        <v>1900</v>
      </c>
      <c r="D73" s="1">
        <v>9648</v>
      </c>
      <c r="E73" s="1">
        <v>10848</v>
      </c>
      <c r="F73" s="1">
        <v>12648</v>
      </c>
      <c r="G73" s="2"/>
      <c r="H73" s="2"/>
      <c r="I73" s="2"/>
      <c r="J73" s="2"/>
      <c r="K73" s="2">
        <v>1900</v>
      </c>
      <c r="L73" s="2">
        <v>6724</v>
      </c>
      <c r="M73" s="2">
        <v>7324</v>
      </c>
      <c r="N73" s="2">
        <v>8224</v>
      </c>
      <c r="O73" s="2"/>
      <c r="P73" s="2"/>
      <c r="Q73" s="2"/>
      <c r="R73" s="2"/>
      <c r="S73" s="1">
        <v>30</v>
      </c>
      <c r="T73" s="50">
        <v>4218.095225512604</v>
      </c>
      <c r="U73" s="50">
        <v>4818.095225512604</v>
      </c>
      <c r="V73" s="50">
        <v>5718.095225512604</v>
      </c>
      <c r="W73" s="2"/>
      <c r="X73" s="2"/>
      <c r="Y73" s="2"/>
      <c r="Z73" s="2"/>
      <c r="AA73" s="2"/>
      <c r="AB73" s="1">
        <v>35</v>
      </c>
      <c r="AC73" s="50">
        <v>7022.8842554267858</v>
      </c>
      <c r="AD73" s="50">
        <v>7622.8842554267858</v>
      </c>
      <c r="AE73" s="50">
        <v>8522.8842554267867</v>
      </c>
      <c r="AF73" s="2"/>
      <c r="AG73" s="2"/>
      <c r="AH73" s="2"/>
      <c r="AI73" s="2"/>
      <c r="AJ73" s="2"/>
      <c r="AK73" s="2"/>
      <c r="AL73" s="2" t="s">
        <v>1642</v>
      </c>
      <c r="AM73" s="2"/>
      <c r="AN73" s="2"/>
    </row>
    <row r="74" spans="1:40" x14ac:dyDescent="0.15">
      <c r="A74" s="2"/>
      <c r="B74" s="2"/>
      <c r="C74" s="2">
        <v>2000</v>
      </c>
      <c r="D74" s="1">
        <v>9848</v>
      </c>
      <c r="E74" s="1">
        <v>11048</v>
      </c>
      <c r="F74" s="1">
        <v>12848</v>
      </c>
      <c r="G74" s="2"/>
      <c r="H74" s="2"/>
      <c r="I74" s="2"/>
      <c r="J74" s="2"/>
      <c r="K74" s="2">
        <v>2000</v>
      </c>
      <c r="L74" s="2">
        <v>6924</v>
      </c>
      <c r="M74" s="2">
        <v>7524</v>
      </c>
      <c r="N74" s="2">
        <v>8424</v>
      </c>
      <c r="O74" s="2"/>
      <c r="P74" s="2"/>
      <c r="Q74" s="2"/>
      <c r="R74" s="2"/>
      <c r="S74" s="1">
        <v>35</v>
      </c>
      <c r="T74" s="50">
        <v>4427.5289975213655</v>
      </c>
      <c r="U74" s="50">
        <v>5027.5289975213655</v>
      </c>
      <c r="V74" s="50">
        <v>5927.5289975213655</v>
      </c>
      <c r="W74" s="2"/>
      <c r="X74" s="2"/>
      <c r="Y74" s="2"/>
      <c r="Z74" s="2"/>
      <c r="AA74" s="2"/>
      <c r="AB74" s="1">
        <v>40</v>
      </c>
      <c r="AC74" s="50">
        <v>7655.61304546063</v>
      </c>
      <c r="AD74" s="50">
        <v>8255.61304546063</v>
      </c>
      <c r="AE74" s="50">
        <v>9155.61304546063</v>
      </c>
      <c r="AF74" s="2"/>
      <c r="AG74" s="2"/>
      <c r="AH74" s="2"/>
      <c r="AI74" s="2"/>
      <c r="AJ74" s="2"/>
      <c r="AK74" s="2"/>
      <c r="AL74" s="2"/>
      <c r="AM74" s="2"/>
      <c r="AN74" s="2"/>
    </row>
    <row r="75" spans="1:40" x14ac:dyDescent="0.15">
      <c r="A75" s="2"/>
      <c r="B75" s="2"/>
      <c r="C75" s="2">
        <v>2100</v>
      </c>
      <c r="D75" s="1">
        <v>10048</v>
      </c>
      <c r="E75" s="1">
        <v>11248</v>
      </c>
      <c r="F75" s="1">
        <v>13048</v>
      </c>
      <c r="G75" s="2"/>
      <c r="H75" s="2"/>
      <c r="I75" s="2"/>
      <c r="J75" s="2"/>
      <c r="K75" s="2">
        <v>2100</v>
      </c>
      <c r="L75" s="2">
        <v>7124</v>
      </c>
      <c r="M75" s="2">
        <v>7724</v>
      </c>
      <c r="N75" s="2">
        <v>8624</v>
      </c>
      <c r="O75" s="2"/>
      <c r="P75" s="2"/>
      <c r="Q75" s="2"/>
      <c r="R75" s="2"/>
      <c r="S75" s="1">
        <v>40</v>
      </c>
      <c r="T75" s="50">
        <v>4634.1007166283434</v>
      </c>
      <c r="U75" s="50">
        <v>5234.1007166283434</v>
      </c>
      <c r="V75" s="50">
        <v>6134.1007166283434</v>
      </c>
      <c r="W75" s="2"/>
      <c r="X75" s="2"/>
      <c r="Y75" s="2"/>
      <c r="Z75" s="2"/>
      <c r="AA75" s="2"/>
      <c r="AB75" s="1">
        <v>45</v>
      </c>
      <c r="AC75" s="50">
        <v>8308.7763108502368</v>
      </c>
      <c r="AD75" s="50">
        <v>8908.7763108502368</v>
      </c>
      <c r="AE75" s="50">
        <v>9808.7763108502368</v>
      </c>
      <c r="AF75" s="2"/>
      <c r="AG75" s="2"/>
      <c r="AH75" s="2"/>
      <c r="AI75" s="2"/>
      <c r="AJ75" s="2"/>
      <c r="AK75" s="2"/>
      <c r="AL75" s="1">
        <v>50</v>
      </c>
      <c r="AM75" s="1">
        <v>60</v>
      </c>
      <c r="AN75" s="1">
        <v>80</v>
      </c>
    </row>
    <row r="76" spans="1:40" x14ac:dyDescent="0.15">
      <c r="A76" s="2"/>
      <c r="B76" s="2"/>
      <c r="C76" s="2">
        <v>2200</v>
      </c>
      <c r="D76" s="1">
        <v>13170</v>
      </c>
      <c r="E76" s="1">
        <v>14970</v>
      </c>
      <c r="F76" s="1">
        <v>17670</v>
      </c>
      <c r="G76" s="2"/>
      <c r="H76" s="2"/>
      <c r="I76" s="2"/>
      <c r="J76" s="2"/>
      <c r="K76" s="2">
        <v>2200</v>
      </c>
      <c r="L76" s="2">
        <v>7324</v>
      </c>
      <c r="M76" s="2">
        <v>7924</v>
      </c>
      <c r="N76" s="2">
        <v>8824</v>
      </c>
      <c r="O76" s="2"/>
      <c r="P76" s="2"/>
      <c r="Q76" s="2"/>
      <c r="R76" s="2"/>
      <c r="S76" s="1">
        <v>45</v>
      </c>
      <c r="T76" s="50">
        <v>4837.4171618254486</v>
      </c>
      <c r="U76" s="50">
        <v>5437.4171618254486</v>
      </c>
      <c r="V76" s="50">
        <v>6337.4171618254486</v>
      </c>
      <c r="W76" s="2"/>
      <c r="X76" s="2"/>
      <c r="Y76" s="2"/>
      <c r="Z76" s="2"/>
      <c r="AA76" s="2"/>
      <c r="AB76" s="1">
        <v>50</v>
      </c>
      <c r="AC76" s="50">
        <v>8985.9995560149819</v>
      </c>
      <c r="AD76" s="50">
        <v>9585.9995560149819</v>
      </c>
      <c r="AE76" s="50">
        <v>10485.999556014982</v>
      </c>
      <c r="AF76" s="2"/>
      <c r="AG76" s="2"/>
      <c r="AH76" s="2"/>
      <c r="AI76" s="2"/>
      <c r="AJ76" s="2"/>
      <c r="AK76" s="2" t="s">
        <v>1644</v>
      </c>
      <c r="AL76" s="1">
        <v>20720</v>
      </c>
      <c r="AM76" s="1">
        <v>22640</v>
      </c>
      <c r="AN76" s="1">
        <v>25680</v>
      </c>
    </row>
    <row r="77" spans="1:40" x14ac:dyDescent="0.15">
      <c r="A77" s="2"/>
      <c r="B77" s="2"/>
      <c r="C77" s="2">
        <v>2300</v>
      </c>
      <c r="D77" s="1">
        <v>13368</v>
      </c>
      <c r="E77" s="1">
        <v>15168</v>
      </c>
      <c r="F77" s="1">
        <v>17868</v>
      </c>
      <c r="G77" s="2"/>
      <c r="H77" s="2"/>
      <c r="I77" s="2"/>
      <c r="J77" s="2"/>
      <c r="K77" s="2">
        <v>2300</v>
      </c>
      <c r="L77" s="2">
        <v>7524</v>
      </c>
      <c r="M77" s="2">
        <v>8124</v>
      </c>
      <c r="N77" s="2">
        <v>9024</v>
      </c>
      <c r="O77" s="2"/>
      <c r="P77" s="2"/>
      <c r="Q77" s="2"/>
      <c r="R77" s="2"/>
      <c r="S77" s="1">
        <v>50</v>
      </c>
      <c r="T77" s="50">
        <v>5037.0913087034969</v>
      </c>
      <c r="U77" s="50">
        <v>5637.0913087034969</v>
      </c>
      <c r="V77" s="50">
        <v>6537.0913087034969</v>
      </c>
      <c r="W77" s="2"/>
      <c r="X77" s="2"/>
      <c r="Y77" s="2"/>
      <c r="Z77" s="2"/>
      <c r="AA77" s="2"/>
      <c r="AB77" s="1">
        <v>55</v>
      </c>
      <c r="AC77" s="50">
        <v>9691.3716571727018</v>
      </c>
      <c r="AD77" s="50">
        <v>10291.371657172702</v>
      </c>
      <c r="AE77" s="50">
        <v>11191.371657172702</v>
      </c>
      <c r="AF77" s="2"/>
      <c r="AG77" s="2"/>
      <c r="AH77" s="2"/>
      <c r="AI77" s="2"/>
      <c r="AJ77" s="2"/>
      <c r="AK77" s="2"/>
      <c r="AL77" s="2"/>
      <c r="AM77" s="2"/>
      <c r="AN77" s="2"/>
    </row>
    <row r="78" spans="1:40" x14ac:dyDescent="0.15">
      <c r="A78" s="2"/>
      <c r="B78" s="2"/>
      <c r="C78" s="2">
        <v>2400</v>
      </c>
      <c r="D78" s="1">
        <v>13572</v>
      </c>
      <c r="E78" s="1">
        <v>15372</v>
      </c>
      <c r="F78" s="1">
        <v>18072</v>
      </c>
      <c r="G78" s="2"/>
      <c r="H78" s="2"/>
      <c r="I78" s="2"/>
      <c r="J78" s="2"/>
      <c r="K78" s="2">
        <v>2400</v>
      </c>
      <c r="L78" s="2">
        <v>7724</v>
      </c>
      <c r="M78" s="2">
        <v>8324</v>
      </c>
      <c r="N78" s="2">
        <v>9224</v>
      </c>
      <c r="O78" s="2"/>
      <c r="P78" s="2"/>
      <c r="Q78" s="2"/>
      <c r="R78" s="2"/>
      <c r="S78" s="1">
        <v>55</v>
      </c>
      <c r="T78" s="50">
        <v>5232.7430661751696</v>
      </c>
      <c r="U78" s="50">
        <v>5832.7430661751696</v>
      </c>
      <c r="V78" s="50">
        <v>6732.7430661751696</v>
      </c>
      <c r="W78" s="2"/>
      <c r="X78" s="2"/>
      <c r="Y78" s="2"/>
      <c r="Z78" s="2"/>
      <c r="AA78" s="2"/>
      <c r="AB78" s="1">
        <v>60</v>
      </c>
      <c r="AC78" s="50">
        <v>10429.553499465135</v>
      </c>
      <c r="AD78" s="50">
        <v>11029.553499465135</v>
      </c>
      <c r="AE78" s="50">
        <v>11929.553499465135</v>
      </c>
      <c r="AF78" s="2"/>
      <c r="AG78" s="2"/>
      <c r="AH78" s="2"/>
      <c r="AI78" s="2"/>
      <c r="AJ78" s="2"/>
      <c r="AK78" s="2"/>
      <c r="AL78" s="2"/>
      <c r="AM78" s="2"/>
      <c r="AN78" s="2"/>
    </row>
    <row r="79" spans="1:40" x14ac:dyDescent="0.15">
      <c r="A79" s="2"/>
      <c r="B79" s="2"/>
      <c r="C79" s="2">
        <v>2500</v>
      </c>
      <c r="D79" s="1">
        <v>13770</v>
      </c>
      <c r="E79" s="1">
        <v>15570</v>
      </c>
      <c r="F79" s="1">
        <v>18270</v>
      </c>
      <c r="G79" s="2"/>
      <c r="H79" s="2"/>
      <c r="I79" s="2"/>
      <c r="J79" s="2"/>
      <c r="K79" s="2">
        <v>2500</v>
      </c>
      <c r="L79" s="2">
        <v>7924</v>
      </c>
      <c r="M79" s="2">
        <v>8524</v>
      </c>
      <c r="N79" s="2">
        <v>9424</v>
      </c>
      <c r="O79" s="2"/>
      <c r="P79" s="2"/>
      <c r="Q79" s="2"/>
      <c r="R79" s="2"/>
      <c r="S79" s="1">
        <v>60</v>
      </c>
      <c r="T79" s="50">
        <v>5424</v>
      </c>
      <c r="U79" s="50">
        <v>6024</v>
      </c>
      <c r="V79" s="50">
        <v>6924</v>
      </c>
      <c r="W79" s="2"/>
      <c r="X79" s="2"/>
      <c r="Y79" s="2"/>
      <c r="Z79" s="2"/>
      <c r="AA79" s="2"/>
      <c r="AB79" s="16"/>
      <c r="AC79" s="16"/>
      <c r="AD79" s="16"/>
      <c r="AE79" s="16"/>
      <c r="AF79" s="2"/>
      <c r="AG79" s="2"/>
      <c r="AH79" s="2"/>
      <c r="AI79" s="2"/>
      <c r="AJ79" s="2"/>
      <c r="AK79" s="2"/>
      <c r="AL79" s="2"/>
      <c r="AM79" s="2"/>
      <c r="AN79" s="2"/>
    </row>
    <row r="80" spans="1:40" x14ac:dyDescent="0.15">
      <c r="A80" s="2"/>
      <c r="B80" s="2"/>
      <c r="C80" s="2">
        <v>2600</v>
      </c>
      <c r="D80" s="1">
        <v>13968</v>
      </c>
      <c r="E80" s="1">
        <v>15768</v>
      </c>
      <c r="F80" s="1">
        <v>18468</v>
      </c>
      <c r="G80" s="2"/>
      <c r="H80" s="2"/>
      <c r="I80" s="2"/>
      <c r="J80" s="2"/>
      <c r="K80" s="2">
        <v>2600</v>
      </c>
      <c r="L80" s="2">
        <v>8124</v>
      </c>
      <c r="M80" s="2">
        <v>8724</v>
      </c>
      <c r="N80" s="2">
        <v>9624</v>
      </c>
      <c r="O80" s="2"/>
      <c r="P80" s="2"/>
      <c r="Q80" s="2"/>
      <c r="R80" s="2"/>
      <c r="S80" s="16"/>
      <c r="T80" s="16"/>
      <c r="U80" s="16"/>
      <c r="V80" s="16"/>
      <c r="W80" s="2"/>
      <c r="X80" s="2"/>
      <c r="Y80" s="2"/>
      <c r="Z80" s="2"/>
      <c r="AA80" s="2"/>
      <c r="AB80" s="2"/>
      <c r="AC80" s="2"/>
      <c r="AD80" s="2"/>
      <c r="AE80" s="2"/>
      <c r="AF80" s="2"/>
      <c r="AG80" s="2"/>
      <c r="AH80" s="2"/>
      <c r="AI80" s="2"/>
      <c r="AJ80" s="2"/>
      <c r="AK80" s="2"/>
      <c r="AL80" s="2"/>
      <c r="AM80" s="2"/>
      <c r="AN80" s="2"/>
    </row>
    <row r="81" spans="1:40" x14ac:dyDescent="0.15">
      <c r="A81" s="2"/>
      <c r="B81" s="2"/>
      <c r="C81" s="2">
        <v>2700</v>
      </c>
      <c r="D81" s="1">
        <v>14172</v>
      </c>
      <c r="E81" s="1">
        <v>15972</v>
      </c>
      <c r="F81" s="1">
        <v>18672</v>
      </c>
      <c r="G81" s="2"/>
      <c r="H81" s="2"/>
      <c r="I81" s="2"/>
      <c r="J81" s="2"/>
      <c r="K81" s="2">
        <v>2700</v>
      </c>
      <c r="L81" s="2">
        <v>8324</v>
      </c>
      <c r="M81" s="2">
        <v>8924</v>
      </c>
      <c r="N81" s="2">
        <v>9824</v>
      </c>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15">
      <c r="A82" s="2"/>
      <c r="B82" s="2"/>
      <c r="C82" s="2">
        <v>2800</v>
      </c>
      <c r="D82" s="1">
        <v>14370</v>
      </c>
      <c r="E82" s="1">
        <v>16170</v>
      </c>
      <c r="F82" s="1">
        <v>18870</v>
      </c>
      <c r="G82" s="2"/>
      <c r="H82" s="2"/>
      <c r="I82" s="2"/>
      <c r="J82" s="2"/>
      <c r="K82" s="2">
        <v>2800</v>
      </c>
      <c r="L82" s="2">
        <v>8524</v>
      </c>
      <c r="M82" s="2">
        <v>9124</v>
      </c>
      <c r="N82" s="2">
        <v>10024</v>
      </c>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15">
      <c r="A83" s="2"/>
      <c r="B83" s="2"/>
      <c r="C83" s="2">
        <v>2900</v>
      </c>
      <c r="D83" s="1">
        <v>14568</v>
      </c>
      <c r="E83" s="1">
        <v>16368</v>
      </c>
      <c r="F83" s="1">
        <v>19068</v>
      </c>
      <c r="G83" s="2"/>
      <c r="H83" s="2"/>
      <c r="I83" s="2"/>
      <c r="J83" s="2"/>
      <c r="K83" s="2">
        <v>2900</v>
      </c>
      <c r="L83" s="2">
        <v>8724</v>
      </c>
      <c r="M83" s="2">
        <v>9324</v>
      </c>
      <c r="N83" s="2">
        <v>10224</v>
      </c>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15">
      <c r="A84" s="2"/>
      <c r="B84" s="2"/>
      <c r="C84" s="2">
        <v>3000</v>
      </c>
      <c r="D84" s="1">
        <v>14772</v>
      </c>
      <c r="E84" s="1">
        <v>16572</v>
      </c>
      <c r="F84" s="1">
        <v>19272</v>
      </c>
      <c r="G84" s="2"/>
      <c r="H84" s="2"/>
      <c r="I84" s="2"/>
      <c r="J84" s="2"/>
      <c r="K84" s="2">
        <v>3000</v>
      </c>
      <c r="L84" s="2">
        <v>8924</v>
      </c>
      <c r="M84" s="2">
        <v>9524</v>
      </c>
      <c r="N84" s="2">
        <v>10424</v>
      </c>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15">
      <c r="A85" s="2"/>
      <c r="B85" s="2"/>
      <c r="C85" s="2">
        <v>3100</v>
      </c>
      <c r="D85" s="1">
        <v>14970</v>
      </c>
      <c r="E85" s="1">
        <v>16770</v>
      </c>
      <c r="F85" s="1">
        <v>19470</v>
      </c>
      <c r="G85" s="2"/>
      <c r="H85" s="2"/>
      <c r="I85" s="2"/>
      <c r="J85" s="2"/>
      <c r="K85" s="2">
        <v>3100</v>
      </c>
      <c r="L85" s="2">
        <v>9124</v>
      </c>
      <c r="M85" s="2">
        <v>9724</v>
      </c>
      <c r="N85" s="2">
        <v>10624</v>
      </c>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15">
      <c r="A86" s="2"/>
      <c r="B86" s="2"/>
      <c r="C86" s="2">
        <v>3200</v>
      </c>
      <c r="D86" s="1">
        <v>18096</v>
      </c>
      <c r="E86" s="1">
        <v>20496</v>
      </c>
      <c r="F86" s="1">
        <v>24096</v>
      </c>
      <c r="G86" s="2"/>
      <c r="H86" s="2"/>
      <c r="I86" s="2"/>
      <c r="J86" s="2"/>
      <c r="K86" s="2">
        <v>3200</v>
      </c>
      <c r="L86" s="2">
        <v>9324</v>
      </c>
      <c r="M86" s="2">
        <v>9924</v>
      </c>
      <c r="N86" s="2">
        <v>10824</v>
      </c>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15">
      <c r="A87" s="2"/>
      <c r="B87" s="2"/>
      <c r="C87" s="2">
        <v>3300</v>
      </c>
      <c r="D87" s="1">
        <v>18296</v>
      </c>
      <c r="E87" s="1">
        <v>20696</v>
      </c>
      <c r="F87" s="1">
        <v>24296</v>
      </c>
      <c r="G87" s="2"/>
      <c r="H87" s="2"/>
      <c r="I87" s="2"/>
      <c r="J87" s="2"/>
      <c r="K87" s="2">
        <v>3300</v>
      </c>
      <c r="L87" s="2">
        <v>9524</v>
      </c>
      <c r="M87" s="2">
        <v>10124</v>
      </c>
      <c r="N87" s="2">
        <v>11024</v>
      </c>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15">
      <c r="A88" s="2"/>
      <c r="B88" s="2"/>
      <c r="C88" s="2">
        <v>3400</v>
      </c>
      <c r="D88" s="1">
        <v>18496</v>
      </c>
      <c r="E88" s="1">
        <v>20896</v>
      </c>
      <c r="F88" s="1">
        <v>24496</v>
      </c>
      <c r="G88" s="2"/>
      <c r="H88" s="2"/>
      <c r="I88" s="2"/>
      <c r="J88" s="2"/>
      <c r="K88" s="2">
        <v>3400</v>
      </c>
      <c r="L88" s="2">
        <v>9724</v>
      </c>
      <c r="M88" s="2">
        <v>10324</v>
      </c>
      <c r="N88" s="2">
        <v>11224</v>
      </c>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15">
      <c r="A89" s="2"/>
      <c r="B89" s="2"/>
      <c r="C89" s="2">
        <v>3500</v>
      </c>
      <c r="D89" s="1">
        <v>18696</v>
      </c>
      <c r="E89" s="1">
        <v>21096</v>
      </c>
      <c r="F89" s="1">
        <v>24696</v>
      </c>
      <c r="G89" s="2"/>
      <c r="H89" s="2"/>
      <c r="I89" s="2"/>
      <c r="J89" s="2"/>
      <c r="K89" s="2">
        <v>3500</v>
      </c>
      <c r="L89" s="2">
        <v>9924</v>
      </c>
      <c r="M89" s="2">
        <v>10524</v>
      </c>
      <c r="N89" s="2">
        <v>11424</v>
      </c>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15">
      <c r="A90" s="2"/>
      <c r="B90" s="2"/>
      <c r="C90" s="2">
        <v>3600</v>
      </c>
      <c r="D90" s="1">
        <v>18896</v>
      </c>
      <c r="E90" s="1">
        <v>21296</v>
      </c>
      <c r="F90" s="1">
        <v>24896</v>
      </c>
      <c r="G90" s="2"/>
      <c r="H90" s="2"/>
      <c r="I90" s="2"/>
      <c r="J90" s="2"/>
      <c r="K90" s="2">
        <v>3600</v>
      </c>
      <c r="L90" s="2">
        <v>10124</v>
      </c>
      <c r="M90" s="2">
        <v>10724</v>
      </c>
      <c r="N90" s="2">
        <v>11624</v>
      </c>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15">
      <c r="A91" s="2"/>
      <c r="B91" s="2"/>
      <c r="C91" s="2">
        <v>3700</v>
      </c>
      <c r="D91" s="1">
        <v>19096</v>
      </c>
      <c r="E91" s="1">
        <v>21496</v>
      </c>
      <c r="F91" s="1">
        <v>25096</v>
      </c>
      <c r="G91" s="2"/>
      <c r="H91" s="2"/>
      <c r="I91" s="2"/>
      <c r="J91" s="2"/>
      <c r="K91" s="2">
        <v>3700</v>
      </c>
      <c r="L91" s="2">
        <v>10324</v>
      </c>
      <c r="M91" s="2">
        <v>10924</v>
      </c>
      <c r="N91" s="2">
        <v>11824</v>
      </c>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15">
      <c r="A92" s="2"/>
      <c r="B92" s="2"/>
      <c r="C92" s="2">
        <v>3800</v>
      </c>
      <c r="D92" s="1">
        <v>19296</v>
      </c>
      <c r="E92" s="1">
        <v>21696</v>
      </c>
      <c r="F92" s="1">
        <v>25296</v>
      </c>
      <c r="G92" s="2"/>
      <c r="H92" s="2"/>
      <c r="I92" s="2"/>
      <c r="J92" s="2"/>
      <c r="K92" s="2">
        <v>3800</v>
      </c>
      <c r="L92" s="2">
        <v>10524</v>
      </c>
      <c r="M92" s="2">
        <v>11124</v>
      </c>
      <c r="N92" s="2">
        <v>12024</v>
      </c>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15">
      <c r="A93" s="2"/>
      <c r="B93" s="2"/>
      <c r="C93" s="2">
        <v>3900</v>
      </c>
      <c r="D93" s="1">
        <v>19496</v>
      </c>
      <c r="E93" s="1">
        <v>21896</v>
      </c>
      <c r="F93" s="1">
        <v>25496</v>
      </c>
      <c r="G93" s="2"/>
      <c r="H93" s="2"/>
      <c r="I93" s="2"/>
      <c r="J93" s="2"/>
      <c r="K93" s="2">
        <v>3900</v>
      </c>
      <c r="L93" s="2">
        <v>10724</v>
      </c>
      <c r="M93" s="2">
        <v>11324</v>
      </c>
      <c r="N93" s="2">
        <v>12224</v>
      </c>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15">
      <c r="A94" s="2"/>
      <c r="B94" s="2"/>
      <c r="C94" s="2">
        <v>4000</v>
      </c>
      <c r="D94" s="1">
        <v>19696</v>
      </c>
      <c r="E94" s="1">
        <v>22096</v>
      </c>
      <c r="F94" s="1">
        <v>25696</v>
      </c>
      <c r="G94" s="2"/>
      <c r="H94" s="2"/>
      <c r="I94" s="2"/>
      <c r="J94" s="2"/>
      <c r="K94" s="2">
        <v>4000</v>
      </c>
      <c r="L94" s="2">
        <v>10924</v>
      </c>
      <c r="M94" s="2">
        <v>11524</v>
      </c>
      <c r="N94" s="2">
        <v>12424</v>
      </c>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15">
      <c r="A95" s="2"/>
      <c r="B95" s="2"/>
      <c r="C95" s="2">
        <v>4100</v>
      </c>
      <c r="D95" s="1">
        <v>19896</v>
      </c>
      <c r="E95" s="1">
        <v>22296</v>
      </c>
      <c r="F95" s="1">
        <v>25896</v>
      </c>
      <c r="G95" s="2"/>
      <c r="H95" s="2"/>
      <c r="I95" s="2"/>
      <c r="J95" s="2"/>
      <c r="K95" s="2">
        <v>4100</v>
      </c>
      <c r="L95" s="2">
        <v>11124</v>
      </c>
      <c r="M95" s="2">
        <v>11724</v>
      </c>
      <c r="N95" s="2">
        <v>12624</v>
      </c>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15">
      <c r="A96" s="2"/>
      <c r="B96" s="2"/>
      <c r="C96" s="2">
        <v>4200</v>
      </c>
      <c r="D96" s="1">
        <v>20096</v>
      </c>
      <c r="E96" s="1">
        <v>22496</v>
      </c>
      <c r="F96" s="1">
        <v>26096</v>
      </c>
      <c r="G96" s="2"/>
      <c r="H96" s="2"/>
      <c r="I96" s="2"/>
      <c r="J96" s="2"/>
      <c r="K96" s="2">
        <v>4200</v>
      </c>
      <c r="L96" s="2">
        <v>11324</v>
      </c>
      <c r="M96" s="2">
        <v>11924</v>
      </c>
      <c r="N96" s="2">
        <v>12824</v>
      </c>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15">
      <c r="A97" s="2"/>
      <c r="B97" s="2"/>
      <c r="C97" s="2">
        <v>4300</v>
      </c>
      <c r="D97" s="1">
        <v>23220</v>
      </c>
      <c r="E97" s="1">
        <v>26220</v>
      </c>
      <c r="F97" s="1">
        <v>30720</v>
      </c>
      <c r="G97" s="2"/>
      <c r="H97" s="2"/>
      <c r="I97" s="2"/>
      <c r="J97" s="2"/>
      <c r="K97" s="2">
        <v>4300</v>
      </c>
      <c r="L97" s="2">
        <v>11524</v>
      </c>
      <c r="M97" s="2">
        <v>12124</v>
      </c>
      <c r="N97" s="2">
        <v>13024</v>
      </c>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15">
      <c r="A98" s="2"/>
      <c r="B98" s="2"/>
      <c r="C98" s="2">
        <v>4400</v>
      </c>
      <c r="D98" s="1">
        <v>23420</v>
      </c>
      <c r="E98" s="1">
        <v>26420</v>
      </c>
      <c r="F98" s="1">
        <v>30920</v>
      </c>
      <c r="G98" s="2"/>
      <c r="H98" s="2"/>
      <c r="I98" s="2"/>
      <c r="J98" s="2"/>
      <c r="K98" s="2">
        <v>4400</v>
      </c>
      <c r="L98" s="2">
        <v>11724</v>
      </c>
      <c r="M98" s="2">
        <v>12324</v>
      </c>
      <c r="N98" s="2">
        <v>13224</v>
      </c>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15">
      <c r="A99" s="2"/>
      <c r="B99" s="2"/>
      <c r="C99" s="2">
        <v>4500</v>
      </c>
      <c r="D99" s="1">
        <v>23620</v>
      </c>
      <c r="E99" s="1">
        <v>26620</v>
      </c>
      <c r="F99" s="1">
        <v>31120</v>
      </c>
      <c r="G99" s="2"/>
      <c r="H99" s="2"/>
      <c r="I99" s="2"/>
      <c r="J99" s="2"/>
      <c r="K99" s="2">
        <v>4500</v>
      </c>
      <c r="L99" s="2">
        <v>11924</v>
      </c>
      <c r="M99" s="2">
        <v>12524</v>
      </c>
      <c r="N99" s="2">
        <v>13424</v>
      </c>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15">
      <c r="A100" s="2"/>
      <c r="B100" s="2"/>
      <c r="C100" s="2">
        <v>4600</v>
      </c>
      <c r="D100" s="1">
        <v>23820</v>
      </c>
      <c r="E100" s="1">
        <v>26820</v>
      </c>
      <c r="F100" s="1">
        <v>31320</v>
      </c>
      <c r="G100" s="2"/>
      <c r="H100" s="2"/>
      <c r="I100" s="2"/>
      <c r="J100" s="2"/>
      <c r="K100" s="2">
        <v>4600</v>
      </c>
      <c r="L100" s="2">
        <v>12124</v>
      </c>
      <c r="M100" s="2">
        <v>12724</v>
      </c>
      <c r="N100" s="2">
        <v>13624</v>
      </c>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15">
      <c r="A101" s="2"/>
      <c r="B101" s="2"/>
      <c r="C101" s="2">
        <v>4700</v>
      </c>
      <c r="D101" s="1">
        <v>24020</v>
      </c>
      <c r="E101" s="1">
        <v>27020</v>
      </c>
      <c r="F101" s="1">
        <v>31520</v>
      </c>
      <c r="G101" s="2"/>
      <c r="H101" s="2"/>
      <c r="I101" s="2"/>
      <c r="J101" s="2"/>
      <c r="K101" s="2">
        <v>4700</v>
      </c>
      <c r="L101" s="2">
        <v>12324</v>
      </c>
      <c r="M101" s="2">
        <v>12924</v>
      </c>
      <c r="N101" s="2">
        <v>13824</v>
      </c>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15">
      <c r="A102" s="2"/>
      <c r="B102" s="2"/>
      <c r="C102" s="2">
        <v>4800</v>
      </c>
      <c r="D102" s="1">
        <v>24220</v>
      </c>
      <c r="E102" s="1">
        <v>27220</v>
      </c>
      <c r="F102" s="1">
        <v>31720</v>
      </c>
      <c r="G102" s="2"/>
      <c r="H102" s="2"/>
      <c r="I102" s="2"/>
      <c r="J102" s="2"/>
      <c r="K102" s="2">
        <v>4800</v>
      </c>
      <c r="L102" s="2">
        <v>12524</v>
      </c>
      <c r="M102" s="2">
        <v>13124</v>
      </c>
      <c r="N102" s="2">
        <v>14024</v>
      </c>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15">
      <c r="A103" s="2"/>
      <c r="B103" s="2"/>
      <c r="C103" s="2">
        <v>4900</v>
      </c>
      <c r="D103" s="1">
        <v>24420</v>
      </c>
      <c r="E103" s="1">
        <v>27420</v>
      </c>
      <c r="F103" s="1">
        <v>31920</v>
      </c>
      <c r="G103" s="2"/>
      <c r="H103" s="2"/>
      <c r="I103" s="2"/>
      <c r="J103" s="2"/>
      <c r="K103" s="2">
        <v>4900</v>
      </c>
      <c r="L103" s="2">
        <v>12724</v>
      </c>
      <c r="M103" s="2">
        <v>13324</v>
      </c>
      <c r="N103" s="2">
        <v>14224</v>
      </c>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15">
      <c r="A104" s="2"/>
      <c r="B104" s="2"/>
      <c r="C104" s="2">
        <v>5000</v>
      </c>
      <c r="D104" s="1">
        <v>24620</v>
      </c>
      <c r="E104" s="1">
        <v>27620</v>
      </c>
      <c r="F104" s="1">
        <v>32120</v>
      </c>
      <c r="G104" s="2"/>
      <c r="H104" s="2"/>
      <c r="I104" s="2"/>
      <c r="J104" s="2"/>
      <c r="K104" s="2">
        <v>5000</v>
      </c>
      <c r="L104" s="2">
        <v>12924</v>
      </c>
      <c r="M104" s="2">
        <v>13524</v>
      </c>
      <c r="N104" s="2">
        <v>14424</v>
      </c>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15">
      <c r="A105" s="2"/>
      <c r="B105" s="2"/>
      <c r="C105" s="2">
        <v>5100</v>
      </c>
      <c r="D105" s="1">
        <v>24820</v>
      </c>
      <c r="E105" s="1">
        <v>27820</v>
      </c>
      <c r="F105" s="1">
        <v>32320</v>
      </c>
      <c r="G105" s="2"/>
      <c r="H105" s="2"/>
      <c r="I105" s="2"/>
      <c r="J105" s="2"/>
      <c r="K105" s="2">
        <v>5100</v>
      </c>
      <c r="L105" s="2">
        <v>13124</v>
      </c>
      <c r="M105" s="2">
        <v>13724</v>
      </c>
      <c r="N105" s="2">
        <v>14624</v>
      </c>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15">
      <c r="A106" s="2"/>
      <c r="B106" s="2"/>
      <c r="C106" s="2">
        <v>5200</v>
      </c>
      <c r="D106" s="1">
        <v>25020</v>
      </c>
      <c r="E106" s="1">
        <v>28020</v>
      </c>
      <c r="F106" s="1">
        <v>32520</v>
      </c>
      <c r="G106" s="2"/>
      <c r="H106" s="2"/>
      <c r="I106" s="2"/>
      <c r="J106" s="2"/>
      <c r="K106" s="2">
        <v>5200</v>
      </c>
      <c r="L106" s="2">
        <v>13324</v>
      </c>
      <c r="M106" s="2">
        <v>13924</v>
      </c>
      <c r="N106" s="2">
        <v>14824</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15">
      <c r="A107" s="2"/>
      <c r="B107" s="2"/>
      <c r="C107" s="2">
        <v>5300</v>
      </c>
      <c r="D107" s="1">
        <v>28140</v>
      </c>
      <c r="E107" s="1">
        <v>31740</v>
      </c>
      <c r="F107" s="1">
        <v>37140</v>
      </c>
      <c r="G107" s="2"/>
      <c r="H107" s="2"/>
      <c r="I107" s="2"/>
      <c r="J107" s="2"/>
      <c r="K107" s="2">
        <v>5300</v>
      </c>
      <c r="L107" s="2">
        <v>13524</v>
      </c>
      <c r="M107" s="2">
        <v>14124</v>
      </c>
      <c r="N107" s="2">
        <v>15024</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15">
      <c r="A108" s="2"/>
      <c r="B108" s="2"/>
      <c r="C108" s="2">
        <v>5400</v>
      </c>
      <c r="D108" s="1">
        <v>28344</v>
      </c>
      <c r="E108" s="1">
        <v>31944</v>
      </c>
      <c r="F108" s="1">
        <v>37344</v>
      </c>
      <c r="G108" s="2"/>
      <c r="H108" s="2"/>
      <c r="I108" s="2"/>
      <c r="J108" s="2"/>
      <c r="K108" s="2">
        <v>5400</v>
      </c>
      <c r="L108" s="2">
        <v>13724</v>
      </c>
      <c r="M108" s="2">
        <v>14324</v>
      </c>
      <c r="N108" s="2">
        <v>15224</v>
      </c>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15">
      <c r="A109" s="2"/>
      <c r="B109" s="2"/>
      <c r="C109" s="2">
        <v>5500</v>
      </c>
      <c r="D109" s="1">
        <v>28536</v>
      </c>
      <c r="E109" s="1">
        <v>32136</v>
      </c>
      <c r="F109" s="1">
        <v>37536</v>
      </c>
      <c r="G109" s="2"/>
      <c r="H109" s="2"/>
      <c r="I109" s="2"/>
      <c r="J109" s="2"/>
      <c r="K109" s="2">
        <v>5500</v>
      </c>
      <c r="L109" s="2">
        <v>13924</v>
      </c>
      <c r="M109" s="2">
        <v>14524</v>
      </c>
      <c r="N109" s="2">
        <v>15424</v>
      </c>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15">
      <c r="A110" s="2"/>
      <c r="B110" s="2"/>
      <c r="C110" s="2">
        <v>5600</v>
      </c>
      <c r="D110" s="1">
        <v>28740</v>
      </c>
      <c r="E110" s="1">
        <v>32340</v>
      </c>
      <c r="F110" s="1">
        <v>37740</v>
      </c>
      <c r="G110" s="2"/>
      <c r="H110" s="2"/>
      <c r="I110" s="2"/>
      <c r="J110" s="2"/>
      <c r="K110" s="2">
        <v>5600</v>
      </c>
      <c r="L110" s="2">
        <v>14124</v>
      </c>
      <c r="M110" s="2">
        <v>14724</v>
      </c>
      <c r="N110" s="2">
        <v>15624</v>
      </c>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15">
      <c r="A111" s="2"/>
      <c r="B111" s="2"/>
      <c r="C111" s="2">
        <v>5700</v>
      </c>
      <c r="D111" s="1">
        <v>28944</v>
      </c>
      <c r="E111" s="1">
        <v>32544</v>
      </c>
      <c r="F111" s="1">
        <v>37944</v>
      </c>
      <c r="G111" s="2"/>
      <c r="H111" s="2"/>
      <c r="I111" s="2"/>
      <c r="J111" s="2"/>
      <c r="K111" s="2">
        <v>5700</v>
      </c>
      <c r="L111" s="2">
        <v>14324</v>
      </c>
      <c r="M111" s="2">
        <v>14924</v>
      </c>
      <c r="N111" s="2">
        <v>15824</v>
      </c>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15">
      <c r="A112" s="2"/>
      <c r="B112" s="2"/>
      <c r="C112" s="2">
        <v>5800</v>
      </c>
      <c r="D112" s="1">
        <v>29136</v>
      </c>
      <c r="E112" s="1">
        <v>32736</v>
      </c>
      <c r="F112" s="1">
        <v>38136</v>
      </c>
      <c r="G112" s="2"/>
      <c r="H112" s="2"/>
      <c r="I112" s="2"/>
      <c r="J112" s="2"/>
      <c r="K112" s="2">
        <v>5800</v>
      </c>
      <c r="L112" s="2">
        <v>14524</v>
      </c>
      <c r="M112" s="2">
        <v>15124</v>
      </c>
      <c r="N112" s="2">
        <v>16024</v>
      </c>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15">
      <c r="A113" s="2"/>
      <c r="B113" s="2"/>
      <c r="C113" s="2">
        <v>5900</v>
      </c>
      <c r="D113" s="1">
        <v>29340</v>
      </c>
      <c r="E113" s="1">
        <v>32940</v>
      </c>
      <c r="F113" s="1">
        <v>38340</v>
      </c>
      <c r="G113" s="2"/>
      <c r="H113" s="2"/>
      <c r="I113" s="2"/>
      <c r="J113" s="2"/>
      <c r="K113" s="2">
        <v>5900</v>
      </c>
      <c r="L113" s="2">
        <v>14724</v>
      </c>
      <c r="M113" s="2">
        <v>15324</v>
      </c>
      <c r="N113" s="2">
        <v>16224</v>
      </c>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15">
      <c r="A114" s="2"/>
      <c r="B114" s="2"/>
      <c r="C114" s="2">
        <v>6000</v>
      </c>
      <c r="D114" s="1">
        <v>29544</v>
      </c>
      <c r="E114" s="1">
        <v>33144</v>
      </c>
      <c r="F114" s="1">
        <v>38544</v>
      </c>
      <c r="G114" s="2"/>
      <c r="H114" s="2"/>
      <c r="I114" s="2"/>
      <c r="J114" s="2"/>
      <c r="K114" s="2">
        <v>6000</v>
      </c>
      <c r="L114" s="2">
        <v>14924</v>
      </c>
      <c r="M114" s="2">
        <v>15524</v>
      </c>
      <c r="N114" s="2">
        <v>16424</v>
      </c>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15">
      <c r="C115" s="78"/>
      <c r="D115" s="78"/>
      <c r="E115" s="78"/>
      <c r="F115" s="78"/>
      <c r="K115" s="78"/>
      <c r="L115" s="78"/>
      <c r="M115" s="78"/>
      <c r="N115" s="7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286"/>
  <sheetViews>
    <sheetView topLeftCell="P135" workbookViewId="0">
      <selection activeCell="AC41" sqref="AC41"/>
    </sheetView>
  </sheetViews>
  <sheetFormatPr defaultColWidth="9.33203125" defaultRowHeight="15" customHeight="1" x14ac:dyDescent="0.15"/>
  <cols>
    <col min="1" max="1" width="9.33203125" style="2" customWidth="1"/>
    <col min="2" max="3" width="12.83203125" style="2" customWidth="1"/>
    <col min="4" max="4" width="8.83203125" style="2" customWidth="1"/>
    <col min="5" max="5" width="20.83203125" style="2" customWidth="1"/>
    <col min="6" max="10" width="12.83203125" style="2" customWidth="1"/>
    <col min="11" max="11" width="16.33203125" style="2" bestFit="1" customWidth="1"/>
    <col min="12" max="24" width="12.83203125" style="2" customWidth="1"/>
    <col min="25" max="25" width="12.83203125" style="1" customWidth="1"/>
    <col min="26" max="30" width="12.83203125" style="2" customWidth="1"/>
    <col min="31" max="16384" width="9.33203125" style="2"/>
  </cols>
  <sheetData>
    <row r="1" spans="1:32" ht="19.5" x14ac:dyDescent="0.15">
      <c r="A1" s="10" t="s">
        <v>927</v>
      </c>
    </row>
    <row r="2" spans="1:32" ht="15" customHeight="1" x14ac:dyDescent="0.15">
      <c r="A2" s="61" t="s">
        <v>928</v>
      </c>
      <c r="T2" s="1" t="s">
        <v>201</v>
      </c>
      <c r="U2" s="12" t="s">
        <v>921</v>
      </c>
      <c r="W2" s="1" t="s">
        <v>279</v>
      </c>
      <c r="X2" s="12" t="s">
        <v>922</v>
      </c>
      <c r="Z2" s="1" t="s">
        <v>747</v>
      </c>
      <c r="AA2" s="12" t="s">
        <v>923</v>
      </c>
      <c r="AC2" s="1" t="s">
        <v>824</v>
      </c>
      <c r="AD2" s="12" t="s">
        <v>924</v>
      </c>
    </row>
    <row r="4" spans="1:32" ht="15" customHeight="1" x14ac:dyDescent="0.15">
      <c r="T4" s="1" t="s">
        <v>828</v>
      </c>
      <c r="U4" s="1" t="s">
        <v>59</v>
      </c>
      <c r="W4" s="1" t="s">
        <v>829</v>
      </c>
      <c r="X4" s="1" t="s">
        <v>804</v>
      </c>
      <c r="Z4" s="1" t="s">
        <v>1746</v>
      </c>
      <c r="AA4" s="1" t="s">
        <v>62</v>
      </c>
      <c r="AC4" s="1">
        <v>750</v>
      </c>
      <c r="AD4" s="1" t="s">
        <v>801</v>
      </c>
    </row>
    <row r="5" spans="1:32" ht="15" customHeight="1" x14ac:dyDescent="0.15">
      <c r="T5" s="1" t="s">
        <v>837</v>
      </c>
      <c r="U5" s="1" t="s">
        <v>446</v>
      </c>
      <c r="W5" s="1" t="s">
        <v>750</v>
      </c>
      <c r="X5" s="1" t="s">
        <v>185</v>
      </c>
      <c r="Z5" s="1" t="s">
        <v>280</v>
      </c>
      <c r="AA5" s="1" t="s">
        <v>237</v>
      </c>
      <c r="AC5" s="1">
        <v>850</v>
      </c>
      <c r="AD5" s="1" t="s">
        <v>801</v>
      </c>
    </row>
    <row r="6" spans="1:32" ht="15" customHeight="1" x14ac:dyDescent="0.15">
      <c r="T6" s="1" t="s">
        <v>99</v>
      </c>
      <c r="U6" s="1" t="s">
        <v>60</v>
      </c>
      <c r="W6" s="17" t="s">
        <v>40</v>
      </c>
      <c r="X6" s="17"/>
      <c r="Z6" s="1" t="s">
        <v>282</v>
      </c>
      <c r="AA6" s="1" t="s">
        <v>91</v>
      </c>
      <c r="AC6" s="1">
        <v>1100</v>
      </c>
      <c r="AD6" s="1" t="s">
        <v>801</v>
      </c>
    </row>
    <row r="7" spans="1:32" ht="15" customHeight="1" x14ac:dyDescent="0.15">
      <c r="T7" s="1" t="s">
        <v>850</v>
      </c>
      <c r="U7" s="1" t="s">
        <v>925</v>
      </c>
      <c r="Z7" s="17" t="s">
        <v>40</v>
      </c>
      <c r="AA7" s="17"/>
      <c r="AC7" s="1">
        <v>1250</v>
      </c>
      <c r="AD7" s="1" t="s">
        <v>259</v>
      </c>
    </row>
    <row r="8" spans="1:32" ht="15" customHeight="1" x14ac:dyDescent="0.15">
      <c r="T8" s="1" t="s">
        <v>844</v>
      </c>
      <c r="U8" s="1" t="s">
        <v>926</v>
      </c>
      <c r="AC8" s="17"/>
      <c r="AD8" s="17"/>
    </row>
    <row r="9" spans="1:32" ht="15" customHeight="1" x14ac:dyDescent="0.15">
      <c r="T9" s="17"/>
      <c r="U9" s="17"/>
    </row>
    <row r="12" spans="1:32" ht="15" customHeight="1" x14ac:dyDescent="0.15">
      <c r="B12" s="44" t="s">
        <v>952</v>
      </c>
      <c r="K12" s="80">
        <v>20230506</v>
      </c>
    </row>
    <row r="13" spans="1:32" ht="15" customHeight="1" x14ac:dyDescent="0.15">
      <c r="B13" s="12">
        <v>1</v>
      </c>
      <c r="C13" s="12">
        <v>2</v>
      </c>
      <c r="D13" s="12">
        <v>3</v>
      </c>
      <c r="E13" s="12">
        <v>4</v>
      </c>
      <c r="F13" s="12">
        <v>5</v>
      </c>
      <c r="G13" s="12">
        <v>6</v>
      </c>
      <c r="H13" s="12">
        <v>7</v>
      </c>
      <c r="I13" s="12">
        <v>8</v>
      </c>
      <c r="J13" s="12">
        <v>9</v>
      </c>
      <c r="K13" s="12">
        <v>10</v>
      </c>
      <c r="L13" s="12">
        <v>11</v>
      </c>
      <c r="M13" s="12">
        <v>12</v>
      </c>
      <c r="N13" s="12">
        <v>13</v>
      </c>
      <c r="O13" s="12">
        <v>14</v>
      </c>
      <c r="P13" s="12">
        <v>15</v>
      </c>
      <c r="Q13" s="12">
        <v>16</v>
      </c>
      <c r="R13" s="12">
        <v>17</v>
      </c>
      <c r="S13" s="12">
        <v>18</v>
      </c>
      <c r="T13" s="12">
        <v>19</v>
      </c>
      <c r="U13" s="12">
        <v>20</v>
      </c>
      <c r="V13" s="12">
        <v>21</v>
      </c>
      <c r="W13" s="12">
        <v>22</v>
      </c>
      <c r="X13" s="12">
        <v>23</v>
      </c>
      <c r="Y13" s="2"/>
      <c r="Z13" s="1"/>
      <c r="AF13" s="2" t="s">
        <v>2077</v>
      </c>
    </row>
    <row r="14" spans="1:32" ht="15" customHeight="1" x14ac:dyDescent="0.15">
      <c r="B14" s="7" t="s">
        <v>269</v>
      </c>
      <c r="C14" s="7" t="s">
        <v>238</v>
      </c>
      <c r="D14" s="7" t="s">
        <v>819</v>
      </c>
      <c r="E14" s="7" t="s">
        <v>46</v>
      </c>
      <c r="F14" s="7" t="s">
        <v>201</v>
      </c>
      <c r="G14" s="7" t="s">
        <v>279</v>
      </c>
      <c r="H14" s="7" t="s">
        <v>747</v>
      </c>
      <c r="I14" s="7" t="s">
        <v>820</v>
      </c>
      <c r="J14" s="7" t="s">
        <v>821</v>
      </c>
      <c r="K14" s="7" t="s">
        <v>822</v>
      </c>
      <c r="L14" s="7" t="s">
        <v>294</v>
      </c>
      <c r="M14" s="7" t="s">
        <v>823</v>
      </c>
      <c r="N14" s="1"/>
      <c r="O14" s="7" t="s">
        <v>184</v>
      </c>
      <c r="P14" s="7" t="s">
        <v>824</v>
      </c>
      <c r="Q14" s="7" t="s">
        <v>825</v>
      </c>
      <c r="R14" s="7" t="s">
        <v>947</v>
      </c>
      <c r="S14" s="7" t="s">
        <v>948</v>
      </c>
      <c r="T14" s="7" t="s">
        <v>946</v>
      </c>
      <c r="U14" s="7" t="s">
        <v>949</v>
      </c>
      <c r="V14" s="7" t="s">
        <v>1598</v>
      </c>
      <c r="W14" s="7" t="s">
        <v>1597</v>
      </c>
      <c r="X14" s="7" t="s">
        <v>1233</v>
      </c>
      <c r="Y14" s="16"/>
      <c r="Z14" s="1" t="s">
        <v>1693</v>
      </c>
      <c r="AC14" s="1" t="s">
        <v>1607</v>
      </c>
      <c r="AD14" s="1" t="s">
        <v>1608</v>
      </c>
    </row>
    <row r="15" spans="1:32" ht="15" customHeight="1" x14ac:dyDescent="0.15">
      <c r="B15" s="11" t="str">
        <f t="shared" ref="B15:B46" si="0">CONCATENATE($O15,VLOOKUP(P15,cat,2,FALSE),"_",VLOOKUP(F15,mat,2,FALSE),VLOOKUP(G15,cop,2,FALSE),VLOOKUP(H15,chg,2,FALSE))</f>
        <v>24N_CPG</v>
      </c>
      <c r="C15" s="1" t="s">
        <v>1757</v>
      </c>
      <c r="D15" s="1" t="s">
        <v>746</v>
      </c>
      <c r="E15" s="2" t="s">
        <v>827</v>
      </c>
      <c r="F15" s="1" t="s">
        <v>828</v>
      </c>
      <c r="G15" s="1" t="s">
        <v>829</v>
      </c>
      <c r="H15" s="1" t="s">
        <v>280</v>
      </c>
      <c r="I15" s="1" t="s">
        <v>72</v>
      </c>
      <c r="J15" s="1" t="s">
        <v>748</v>
      </c>
      <c r="K15" s="1" t="s">
        <v>830</v>
      </c>
      <c r="L15" s="1" t="s">
        <v>831</v>
      </c>
      <c r="M15" s="1" t="s">
        <v>296</v>
      </c>
      <c r="O15" s="1">
        <v>24</v>
      </c>
      <c r="P15" s="1">
        <v>850</v>
      </c>
      <c r="Q15" s="1" t="s">
        <v>832</v>
      </c>
      <c r="R15" s="1">
        <v>3</v>
      </c>
      <c r="S15" s="1">
        <v>4</v>
      </c>
      <c r="T15" s="1">
        <v>8</v>
      </c>
      <c r="U15" s="1" t="s">
        <v>40</v>
      </c>
      <c r="V15" s="1">
        <f>IF(I15="NO",5,IF(I15="HD1000",6,IF(I15="Hardox 450",7,"X")))</f>
        <v>5</v>
      </c>
      <c r="W15" s="1">
        <f>IF(AND(G15="S355",H15="60x12"),1,IF(AND(G15="AISI 304",H15="60x12"),2,IF(AND(G15="AISI 304",H15="60x20"),3,"-")))</f>
        <v>1</v>
      </c>
      <c r="X15" s="1"/>
      <c r="Y15" s="16"/>
      <c r="Z15" s="1">
        <v>20230506</v>
      </c>
      <c r="AA15" s="2" t="s">
        <v>826</v>
      </c>
      <c r="AC15" s="1" t="s">
        <v>830</v>
      </c>
      <c r="AD15" s="81"/>
      <c r="AF15" s="2">
        <f>IF(I15="NO",5,IF(I15="HD1000",6,IF(I15="Hardox 450",7,"X")))</f>
        <v>5</v>
      </c>
    </row>
    <row r="16" spans="1:32" ht="15" customHeight="1" x14ac:dyDescent="0.15">
      <c r="B16" s="11" t="str">
        <f t="shared" si="0"/>
        <v>24N_CXG</v>
      </c>
      <c r="C16" s="1" t="s">
        <v>1757</v>
      </c>
      <c r="D16" s="1" t="s">
        <v>833</v>
      </c>
      <c r="E16" s="2" t="s">
        <v>827</v>
      </c>
      <c r="F16" s="1" t="s">
        <v>828</v>
      </c>
      <c r="G16" s="1" t="s">
        <v>750</v>
      </c>
      <c r="H16" s="1" t="s">
        <v>280</v>
      </c>
      <c r="I16" s="1" t="s">
        <v>72</v>
      </c>
      <c r="J16" s="1" t="s">
        <v>748</v>
      </c>
      <c r="K16" s="1" t="s">
        <v>830</v>
      </c>
      <c r="L16" s="1" t="s">
        <v>831</v>
      </c>
      <c r="M16" s="1" t="s">
        <v>296</v>
      </c>
      <c r="O16" s="1">
        <v>24</v>
      </c>
      <c r="P16" s="1">
        <v>850</v>
      </c>
      <c r="Q16" s="1" t="s">
        <v>832</v>
      </c>
      <c r="R16" s="1">
        <v>4</v>
      </c>
      <c r="S16" s="1">
        <v>4</v>
      </c>
      <c r="T16" s="1">
        <v>8</v>
      </c>
      <c r="U16" s="1" t="s">
        <v>40</v>
      </c>
      <c r="V16" s="1">
        <f t="shared" ref="V16:V79" si="1">IF(I16="NO",5,IF(I16="HD1000",6,IF(I16="Hardox 450",7,"X")))</f>
        <v>5</v>
      </c>
      <c r="W16" s="1">
        <f t="shared" ref="W16:W79" si="2">IF(AND(G16="S355",H16="60x12"),1,IF(AND(G16="AISI 304",H16="60x12"),2,IF(AND(G16="AISI 304",H16="60x20"),3,"-")))</f>
        <v>2</v>
      </c>
      <c r="X16" s="1"/>
      <c r="Y16" s="16"/>
      <c r="Z16" s="1">
        <v>20230506</v>
      </c>
      <c r="AA16" s="2" t="s">
        <v>826</v>
      </c>
      <c r="AC16" s="1" t="s">
        <v>853</v>
      </c>
      <c r="AD16" s="81"/>
      <c r="AF16" s="2">
        <f t="shared" ref="AF16:AF79" si="3">IF(I16="NO",5,IF(I16="HD1000",6,IF(I16="Hardox 450",7,"X")))</f>
        <v>5</v>
      </c>
    </row>
    <row r="17" spans="1:32" ht="15" customHeight="1" x14ac:dyDescent="0.15">
      <c r="B17" s="11" t="str">
        <f t="shared" si="0"/>
        <v>24N_CXH</v>
      </c>
      <c r="C17" s="1" t="s">
        <v>1757</v>
      </c>
      <c r="D17" s="1" t="s">
        <v>834</v>
      </c>
      <c r="E17" s="2" t="s">
        <v>827</v>
      </c>
      <c r="F17" s="1" t="s">
        <v>828</v>
      </c>
      <c r="G17" s="1" t="s">
        <v>750</v>
      </c>
      <c r="H17" s="1" t="s">
        <v>282</v>
      </c>
      <c r="I17" s="1" t="s">
        <v>72</v>
      </c>
      <c r="J17" s="1" t="s">
        <v>748</v>
      </c>
      <c r="K17" s="1" t="s">
        <v>830</v>
      </c>
      <c r="L17" s="1" t="s">
        <v>831</v>
      </c>
      <c r="M17" s="1" t="s">
        <v>296</v>
      </c>
      <c r="O17" s="1">
        <v>24</v>
      </c>
      <c r="P17" s="1">
        <v>850</v>
      </c>
      <c r="Q17" s="1" t="s">
        <v>832</v>
      </c>
      <c r="R17" s="1">
        <v>4</v>
      </c>
      <c r="S17" s="1">
        <v>4</v>
      </c>
      <c r="T17" s="1">
        <v>8</v>
      </c>
      <c r="U17" s="1" t="s">
        <v>40</v>
      </c>
      <c r="V17" s="1">
        <f t="shared" si="1"/>
        <v>5</v>
      </c>
      <c r="W17" s="1">
        <f t="shared" si="2"/>
        <v>3</v>
      </c>
      <c r="X17" s="1"/>
      <c r="Y17" s="16"/>
      <c r="Z17" s="1">
        <v>20230506</v>
      </c>
      <c r="AA17" s="2" t="s">
        <v>826</v>
      </c>
      <c r="AC17" s="1" t="s">
        <v>866</v>
      </c>
      <c r="AD17" s="81" t="s">
        <v>1606</v>
      </c>
      <c r="AF17" s="2">
        <f t="shared" si="3"/>
        <v>5</v>
      </c>
    </row>
    <row r="18" spans="1:32" ht="15" customHeight="1" x14ac:dyDescent="0.15">
      <c r="B18" s="11" t="str">
        <f t="shared" si="0"/>
        <v>24N_RPG</v>
      </c>
      <c r="C18" s="1" t="s">
        <v>835</v>
      </c>
      <c r="D18" s="1" t="s">
        <v>746</v>
      </c>
      <c r="E18" s="2" t="s">
        <v>836</v>
      </c>
      <c r="F18" s="1" t="s">
        <v>837</v>
      </c>
      <c r="G18" s="1" t="s">
        <v>829</v>
      </c>
      <c r="H18" s="1" t="s">
        <v>280</v>
      </c>
      <c r="I18" s="1" t="s">
        <v>838</v>
      </c>
      <c r="J18" s="1" t="s">
        <v>839</v>
      </c>
      <c r="K18" s="1" t="s">
        <v>840</v>
      </c>
      <c r="L18" s="1" t="s">
        <v>841</v>
      </c>
      <c r="M18" s="1" t="s">
        <v>296</v>
      </c>
      <c r="O18" s="1">
        <v>24</v>
      </c>
      <c r="P18" s="1">
        <v>850</v>
      </c>
      <c r="Q18" s="1" t="s">
        <v>940</v>
      </c>
      <c r="R18" s="1">
        <v>3</v>
      </c>
      <c r="S18" s="1">
        <v>4</v>
      </c>
      <c r="T18" s="1">
        <v>4</v>
      </c>
      <c r="U18" s="1">
        <v>15</v>
      </c>
      <c r="V18" s="1">
        <f t="shared" si="1"/>
        <v>6</v>
      </c>
      <c r="W18" s="1">
        <f t="shared" si="2"/>
        <v>1</v>
      </c>
      <c r="X18" s="1"/>
      <c r="Y18" s="16"/>
      <c r="Z18" s="1"/>
      <c r="AC18" s="1" t="s">
        <v>879</v>
      </c>
      <c r="AD18" s="81" t="s">
        <v>1606</v>
      </c>
      <c r="AF18" s="2">
        <f t="shared" si="3"/>
        <v>6</v>
      </c>
    </row>
    <row r="19" spans="1:32" ht="15" customHeight="1" x14ac:dyDescent="0.15">
      <c r="B19" s="11" t="str">
        <f t="shared" si="0"/>
        <v>24N_RXG</v>
      </c>
      <c r="C19" s="1" t="s">
        <v>835</v>
      </c>
      <c r="D19" s="1" t="s">
        <v>833</v>
      </c>
      <c r="E19" s="2" t="s">
        <v>836</v>
      </c>
      <c r="F19" s="1" t="s">
        <v>837</v>
      </c>
      <c r="G19" s="1" t="s">
        <v>750</v>
      </c>
      <c r="H19" s="1" t="s">
        <v>280</v>
      </c>
      <c r="I19" s="1" t="s">
        <v>838</v>
      </c>
      <c r="J19" s="1" t="s">
        <v>839</v>
      </c>
      <c r="K19" s="1" t="s">
        <v>840</v>
      </c>
      <c r="L19" s="1" t="s">
        <v>841</v>
      </c>
      <c r="M19" s="1" t="s">
        <v>296</v>
      </c>
      <c r="O19" s="1">
        <v>24</v>
      </c>
      <c r="P19" s="1">
        <v>850</v>
      </c>
      <c r="Q19" s="1" t="s">
        <v>940</v>
      </c>
      <c r="R19" s="1">
        <v>4</v>
      </c>
      <c r="S19" s="1">
        <v>4</v>
      </c>
      <c r="T19" s="1">
        <v>4</v>
      </c>
      <c r="U19" s="1">
        <v>15</v>
      </c>
      <c r="V19" s="1">
        <f t="shared" si="1"/>
        <v>6</v>
      </c>
      <c r="W19" s="1">
        <f t="shared" si="2"/>
        <v>2</v>
      </c>
      <c r="X19" s="1"/>
      <c r="Y19" s="16"/>
      <c r="Z19" s="1"/>
      <c r="AC19" s="1" t="s">
        <v>896</v>
      </c>
      <c r="AD19" s="81" t="s">
        <v>1606</v>
      </c>
      <c r="AF19" s="2">
        <f t="shared" si="3"/>
        <v>6</v>
      </c>
    </row>
    <row r="20" spans="1:32" ht="15" customHeight="1" x14ac:dyDescent="0.15">
      <c r="B20" s="11" t="str">
        <f t="shared" si="0"/>
        <v>24N_RXH</v>
      </c>
      <c r="C20" s="1" t="s">
        <v>835</v>
      </c>
      <c r="D20" s="1" t="s">
        <v>834</v>
      </c>
      <c r="E20" s="2" t="s">
        <v>836</v>
      </c>
      <c r="F20" s="1" t="s">
        <v>837</v>
      </c>
      <c r="G20" s="1" t="s">
        <v>750</v>
      </c>
      <c r="H20" s="1" t="s">
        <v>282</v>
      </c>
      <c r="I20" s="1" t="s">
        <v>838</v>
      </c>
      <c r="J20" s="1" t="s">
        <v>839</v>
      </c>
      <c r="K20" s="1" t="s">
        <v>840</v>
      </c>
      <c r="L20" s="1" t="s">
        <v>841</v>
      </c>
      <c r="M20" s="1" t="s">
        <v>296</v>
      </c>
      <c r="O20" s="1">
        <v>24</v>
      </c>
      <c r="P20" s="1">
        <v>850</v>
      </c>
      <c r="Q20" s="1" t="s">
        <v>940</v>
      </c>
      <c r="R20" s="1">
        <v>4</v>
      </c>
      <c r="S20" s="1">
        <v>4</v>
      </c>
      <c r="T20" s="1">
        <v>4</v>
      </c>
      <c r="U20" s="1">
        <v>15</v>
      </c>
      <c r="V20" s="1">
        <f t="shared" si="1"/>
        <v>6</v>
      </c>
      <c r="W20" s="1">
        <f t="shared" si="2"/>
        <v>3</v>
      </c>
      <c r="X20" s="1"/>
      <c r="Y20" s="16"/>
      <c r="Z20" s="1"/>
      <c r="AC20" s="1" t="s">
        <v>912</v>
      </c>
      <c r="AD20" s="81" t="s">
        <v>1606</v>
      </c>
      <c r="AF20" s="2">
        <f t="shared" si="3"/>
        <v>6</v>
      </c>
    </row>
    <row r="21" spans="1:32" ht="15" customHeight="1" x14ac:dyDescent="0.15">
      <c r="B21" s="11" t="str">
        <f t="shared" si="0"/>
        <v>24N_WPG</v>
      </c>
      <c r="C21" s="1" t="s">
        <v>1758</v>
      </c>
      <c r="D21" s="1" t="s">
        <v>746</v>
      </c>
      <c r="E21" s="2" t="s">
        <v>843</v>
      </c>
      <c r="F21" s="1" t="s">
        <v>844</v>
      </c>
      <c r="G21" s="1" t="s">
        <v>829</v>
      </c>
      <c r="H21" s="1" t="s">
        <v>280</v>
      </c>
      <c r="I21" s="1" t="s">
        <v>751</v>
      </c>
      <c r="J21" s="1" t="s">
        <v>748</v>
      </c>
      <c r="K21" s="1" t="s">
        <v>845</v>
      </c>
      <c r="L21" s="1" t="s">
        <v>831</v>
      </c>
      <c r="M21" s="1" t="s">
        <v>296</v>
      </c>
      <c r="O21" s="1">
        <v>24</v>
      </c>
      <c r="P21" s="1">
        <v>850</v>
      </c>
      <c r="Q21" s="1" t="s">
        <v>943</v>
      </c>
      <c r="R21" s="1">
        <v>3</v>
      </c>
      <c r="S21" s="1">
        <v>4</v>
      </c>
      <c r="T21" s="1">
        <v>8</v>
      </c>
      <c r="U21" s="1">
        <v>12</v>
      </c>
      <c r="V21" s="1">
        <f t="shared" si="1"/>
        <v>7</v>
      </c>
      <c r="W21" s="1">
        <f t="shared" si="2"/>
        <v>1</v>
      </c>
      <c r="X21" s="1"/>
      <c r="Y21" s="16"/>
      <c r="Z21" s="1">
        <v>20230506</v>
      </c>
      <c r="AA21" s="2" t="s">
        <v>842</v>
      </c>
      <c r="AC21" s="1" t="s">
        <v>893</v>
      </c>
      <c r="AD21" s="81"/>
      <c r="AF21" s="2">
        <f t="shared" si="3"/>
        <v>7</v>
      </c>
    </row>
    <row r="22" spans="1:32" ht="15" customHeight="1" x14ac:dyDescent="0.15">
      <c r="B22" s="11" t="str">
        <f t="shared" si="0"/>
        <v>24N_WXG</v>
      </c>
      <c r="C22" s="1" t="s">
        <v>1758</v>
      </c>
      <c r="D22" s="1" t="s">
        <v>833</v>
      </c>
      <c r="E22" s="2" t="s">
        <v>843</v>
      </c>
      <c r="F22" s="1" t="s">
        <v>844</v>
      </c>
      <c r="G22" s="1" t="s">
        <v>750</v>
      </c>
      <c r="H22" s="1" t="s">
        <v>280</v>
      </c>
      <c r="I22" s="1" t="s">
        <v>751</v>
      </c>
      <c r="J22" s="1" t="s">
        <v>748</v>
      </c>
      <c r="K22" s="1" t="s">
        <v>845</v>
      </c>
      <c r="L22" s="1" t="s">
        <v>831</v>
      </c>
      <c r="M22" s="1" t="s">
        <v>296</v>
      </c>
      <c r="O22" s="1">
        <v>24</v>
      </c>
      <c r="P22" s="1">
        <v>850</v>
      </c>
      <c r="Q22" s="1" t="s">
        <v>943</v>
      </c>
      <c r="R22" s="1">
        <v>4</v>
      </c>
      <c r="S22" s="1">
        <v>4</v>
      </c>
      <c r="T22" s="1">
        <v>8</v>
      </c>
      <c r="U22" s="1">
        <v>12</v>
      </c>
      <c r="V22" s="1">
        <f t="shared" si="1"/>
        <v>7</v>
      </c>
      <c r="W22" s="1">
        <f t="shared" si="2"/>
        <v>2</v>
      </c>
      <c r="X22" s="1"/>
      <c r="Y22" s="16"/>
      <c r="Z22" s="1">
        <v>20230506</v>
      </c>
      <c r="AA22" s="2" t="s">
        <v>846</v>
      </c>
      <c r="AC22" s="1" t="s">
        <v>909</v>
      </c>
      <c r="AD22" s="81"/>
      <c r="AF22" s="2">
        <f t="shared" si="3"/>
        <v>7</v>
      </c>
    </row>
    <row r="23" spans="1:32" ht="15" customHeight="1" x14ac:dyDescent="0.15">
      <c r="B23" s="11" t="str">
        <f t="shared" si="0"/>
        <v>24N_WXH</v>
      </c>
      <c r="C23" s="1" t="s">
        <v>1758</v>
      </c>
      <c r="D23" s="1" t="s">
        <v>834</v>
      </c>
      <c r="E23" s="2" t="s">
        <v>843</v>
      </c>
      <c r="F23" s="1" t="s">
        <v>844</v>
      </c>
      <c r="G23" s="1" t="s">
        <v>750</v>
      </c>
      <c r="H23" s="1" t="s">
        <v>282</v>
      </c>
      <c r="I23" s="1" t="s">
        <v>751</v>
      </c>
      <c r="J23" s="1" t="s">
        <v>748</v>
      </c>
      <c r="K23" s="1" t="s">
        <v>845</v>
      </c>
      <c r="L23" s="1" t="s">
        <v>831</v>
      </c>
      <c r="M23" s="1" t="s">
        <v>296</v>
      </c>
      <c r="O23" s="1">
        <v>24</v>
      </c>
      <c r="P23" s="1">
        <v>850</v>
      </c>
      <c r="Q23" s="1" t="s">
        <v>943</v>
      </c>
      <c r="R23" s="1">
        <v>4</v>
      </c>
      <c r="S23" s="1">
        <v>4</v>
      </c>
      <c r="T23" s="1">
        <v>8</v>
      </c>
      <c r="U23" s="1">
        <v>12</v>
      </c>
      <c r="V23" s="1">
        <f t="shared" si="1"/>
        <v>7</v>
      </c>
      <c r="W23" s="1">
        <f t="shared" si="2"/>
        <v>3</v>
      </c>
      <c r="X23" s="1"/>
      <c r="Y23" s="16"/>
      <c r="Z23" s="1">
        <v>20230506</v>
      </c>
      <c r="AA23" s="2" t="s">
        <v>848</v>
      </c>
      <c r="AC23" s="1" t="s">
        <v>920</v>
      </c>
      <c r="AD23" s="81" t="s">
        <v>1606</v>
      </c>
      <c r="AF23" s="2">
        <f t="shared" si="3"/>
        <v>7</v>
      </c>
    </row>
    <row r="24" spans="1:32" ht="15" customHeight="1" x14ac:dyDescent="0.15">
      <c r="B24" s="11" t="str">
        <f t="shared" si="0"/>
        <v>24N_DPG</v>
      </c>
      <c r="C24" s="1" t="s">
        <v>1759</v>
      </c>
      <c r="D24" s="1" t="s">
        <v>746</v>
      </c>
      <c r="E24" s="2" t="s">
        <v>847</v>
      </c>
      <c r="F24" s="1" t="s">
        <v>99</v>
      </c>
      <c r="G24" s="1" t="s">
        <v>829</v>
      </c>
      <c r="H24" s="1" t="s">
        <v>280</v>
      </c>
      <c r="I24" s="1" t="s">
        <v>72</v>
      </c>
      <c r="J24" s="1" t="s">
        <v>748</v>
      </c>
      <c r="K24" s="1" t="s">
        <v>830</v>
      </c>
      <c r="L24" s="1" t="s">
        <v>831</v>
      </c>
      <c r="M24" s="1" t="s">
        <v>296</v>
      </c>
      <c r="O24" s="1">
        <v>24</v>
      </c>
      <c r="P24" s="1">
        <v>850</v>
      </c>
      <c r="Q24" s="1" t="s">
        <v>832</v>
      </c>
      <c r="R24" s="1">
        <v>3</v>
      </c>
      <c r="S24" s="1">
        <v>4</v>
      </c>
      <c r="T24" s="1">
        <v>8</v>
      </c>
      <c r="U24" s="1" t="s">
        <v>40</v>
      </c>
      <c r="V24" s="1">
        <f t="shared" si="1"/>
        <v>5</v>
      </c>
      <c r="W24" s="1">
        <f t="shared" si="2"/>
        <v>1</v>
      </c>
      <c r="X24" s="1"/>
      <c r="Y24" s="16"/>
      <c r="Z24" s="1">
        <v>20230506</v>
      </c>
      <c r="AA24" s="2" t="s">
        <v>846</v>
      </c>
      <c r="AC24" s="1" t="s">
        <v>840</v>
      </c>
      <c r="AD24" s="81"/>
      <c r="AF24" s="2">
        <f t="shared" si="3"/>
        <v>5</v>
      </c>
    </row>
    <row r="25" spans="1:32" ht="15" customHeight="1" x14ac:dyDescent="0.15">
      <c r="B25" s="11" t="str">
        <f t="shared" si="0"/>
        <v>24N_DXG</v>
      </c>
      <c r="C25" s="1" t="s">
        <v>1759</v>
      </c>
      <c r="D25" s="1" t="s">
        <v>833</v>
      </c>
      <c r="E25" s="2" t="s">
        <v>847</v>
      </c>
      <c r="F25" s="1" t="s">
        <v>99</v>
      </c>
      <c r="G25" s="1" t="s">
        <v>750</v>
      </c>
      <c r="H25" s="1" t="s">
        <v>280</v>
      </c>
      <c r="I25" s="1" t="s">
        <v>72</v>
      </c>
      <c r="J25" s="1" t="s">
        <v>748</v>
      </c>
      <c r="K25" s="1" t="s">
        <v>830</v>
      </c>
      <c r="L25" s="1" t="s">
        <v>831</v>
      </c>
      <c r="M25" s="1" t="s">
        <v>296</v>
      </c>
      <c r="O25" s="1">
        <v>24</v>
      </c>
      <c r="P25" s="1">
        <v>850</v>
      </c>
      <c r="Q25" s="1" t="s">
        <v>832</v>
      </c>
      <c r="R25" s="1">
        <v>4</v>
      </c>
      <c r="S25" s="1">
        <v>4</v>
      </c>
      <c r="T25" s="1">
        <v>8</v>
      </c>
      <c r="U25" s="1" t="s">
        <v>40</v>
      </c>
      <c r="V25" s="1">
        <f t="shared" si="1"/>
        <v>5</v>
      </c>
      <c r="W25" s="1">
        <f t="shared" si="2"/>
        <v>2</v>
      </c>
      <c r="X25" s="1"/>
      <c r="Y25" s="16"/>
      <c r="Z25" s="1">
        <v>20230506</v>
      </c>
      <c r="AA25" s="2" t="s">
        <v>846</v>
      </c>
      <c r="AC25" s="1" t="s">
        <v>856</v>
      </c>
      <c r="AD25" s="81"/>
      <c r="AF25" s="2">
        <f t="shared" si="3"/>
        <v>5</v>
      </c>
    </row>
    <row r="26" spans="1:32" ht="15" customHeight="1" x14ac:dyDescent="0.15">
      <c r="B26" s="11" t="str">
        <f t="shared" si="0"/>
        <v>24N_DXH</v>
      </c>
      <c r="C26" s="1" t="s">
        <v>1759</v>
      </c>
      <c r="D26" s="1" t="s">
        <v>834</v>
      </c>
      <c r="E26" s="2" t="s">
        <v>847</v>
      </c>
      <c r="F26" s="1" t="s">
        <v>99</v>
      </c>
      <c r="G26" s="1" t="s">
        <v>750</v>
      </c>
      <c r="H26" s="1" t="s">
        <v>282</v>
      </c>
      <c r="I26" s="1" t="s">
        <v>72</v>
      </c>
      <c r="J26" s="1" t="s">
        <v>748</v>
      </c>
      <c r="K26" s="1" t="s">
        <v>830</v>
      </c>
      <c r="L26" s="1" t="s">
        <v>831</v>
      </c>
      <c r="M26" s="1" t="s">
        <v>296</v>
      </c>
      <c r="O26" s="1">
        <v>24</v>
      </c>
      <c r="P26" s="1">
        <v>850</v>
      </c>
      <c r="Q26" s="1" t="s">
        <v>832</v>
      </c>
      <c r="R26" s="1">
        <v>4</v>
      </c>
      <c r="S26" s="1">
        <v>4</v>
      </c>
      <c r="T26" s="1">
        <v>8</v>
      </c>
      <c r="U26" s="1" t="s">
        <v>40</v>
      </c>
      <c r="V26" s="1">
        <f t="shared" si="1"/>
        <v>5</v>
      </c>
      <c r="W26" s="1">
        <f t="shared" si="2"/>
        <v>3</v>
      </c>
      <c r="X26" s="1"/>
      <c r="Y26" s="16"/>
      <c r="Z26" s="1">
        <v>20230506</v>
      </c>
      <c r="AA26" s="2" t="s">
        <v>846</v>
      </c>
      <c r="AC26" s="1" t="s">
        <v>869</v>
      </c>
      <c r="AD26" s="81"/>
      <c r="AF26" s="2">
        <f t="shared" si="3"/>
        <v>5</v>
      </c>
    </row>
    <row r="27" spans="1:32" ht="15" customHeight="1" x14ac:dyDescent="0.15">
      <c r="A27" s="2" t="s">
        <v>1591</v>
      </c>
      <c r="B27" s="63" t="str">
        <f t="shared" si="0"/>
        <v>24N_SPG</v>
      </c>
      <c r="C27" s="62" t="s">
        <v>848</v>
      </c>
      <c r="D27" s="62" t="s">
        <v>746</v>
      </c>
      <c r="E27" s="64" t="s">
        <v>849</v>
      </c>
      <c r="F27" s="62" t="s">
        <v>850</v>
      </c>
      <c r="G27" s="62" t="s">
        <v>829</v>
      </c>
      <c r="H27" s="62" t="s">
        <v>280</v>
      </c>
      <c r="I27" s="62" t="s">
        <v>838</v>
      </c>
      <c r="J27" s="62" t="s">
        <v>839</v>
      </c>
      <c r="K27" s="62" t="s">
        <v>840</v>
      </c>
      <c r="L27" s="62" t="s">
        <v>841</v>
      </c>
      <c r="M27" s="62" t="s">
        <v>296</v>
      </c>
      <c r="N27" s="64"/>
      <c r="O27" s="62">
        <v>24</v>
      </c>
      <c r="P27" s="62">
        <v>850</v>
      </c>
      <c r="Q27" s="62" t="s">
        <v>940</v>
      </c>
      <c r="R27" s="62">
        <v>3</v>
      </c>
      <c r="S27" s="62">
        <v>4</v>
      </c>
      <c r="T27" s="62">
        <v>4</v>
      </c>
      <c r="U27" s="62">
        <v>15</v>
      </c>
      <c r="V27" s="62">
        <f t="shared" si="1"/>
        <v>6</v>
      </c>
      <c r="W27" s="62">
        <f t="shared" si="2"/>
        <v>1</v>
      </c>
      <c r="X27" s="62"/>
      <c r="Y27" s="16"/>
      <c r="Z27" s="1"/>
      <c r="AC27" s="1" t="s">
        <v>882</v>
      </c>
      <c r="AD27" s="81"/>
      <c r="AF27" s="2">
        <f t="shared" si="3"/>
        <v>6</v>
      </c>
    </row>
    <row r="28" spans="1:32" ht="15" customHeight="1" x14ac:dyDescent="0.15">
      <c r="A28" s="2" t="s">
        <v>1591</v>
      </c>
      <c r="B28" s="63" t="str">
        <f t="shared" si="0"/>
        <v>24N_SXG</v>
      </c>
      <c r="C28" s="62" t="s">
        <v>848</v>
      </c>
      <c r="D28" s="62" t="s">
        <v>833</v>
      </c>
      <c r="E28" s="64" t="s">
        <v>849</v>
      </c>
      <c r="F28" s="62" t="s">
        <v>850</v>
      </c>
      <c r="G28" s="62" t="s">
        <v>750</v>
      </c>
      <c r="H28" s="62" t="s">
        <v>280</v>
      </c>
      <c r="I28" s="62" t="s">
        <v>838</v>
      </c>
      <c r="J28" s="62" t="s">
        <v>839</v>
      </c>
      <c r="K28" s="62" t="s">
        <v>840</v>
      </c>
      <c r="L28" s="62" t="s">
        <v>841</v>
      </c>
      <c r="M28" s="62" t="s">
        <v>296</v>
      </c>
      <c r="N28" s="64"/>
      <c r="O28" s="62">
        <v>24</v>
      </c>
      <c r="P28" s="62">
        <v>850</v>
      </c>
      <c r="Q28" s="62" t="s">
        <v>940</v>
      </c>
      <c r="R28" s="62">
        <v>4</v>
      </c>
      <c r="S28" s="62">
        <v>4</v>
      </c>
      <c r="T28" s="62">
        <v>4</v>
      </c>
      <c r="U28" s="62">
        <v>15</v>
      </c>
      <c r="V28" s="62">
        <f t="shared" si="1"/>
        <v>6</v>
      </c>
      <c r="W28" s="62">
        <f t="shared" si="2"/>
        <v>2</v>
      </c>
      <c r="X28" s="62"/>
      <c r="Y28" s="16"/>
      <c r="Z28" s="1"/>
      <c r="AC28" s="1" t="s">
        <v>1595</v>
      </c>
      <c r="AD28" s="81" t="s">
        <v>1606</v>
      </c>
      <c r="AF28" s="2">
        <f t="shared" si="3"/>
        <v>6</v>
      </c>
    </row>
    <row r="29" spans="1:32" ht="15" customHeight="1" x14ac:dyDescent="0.15">
      <c r="A29" s="2" t="s">
        <v>1591</v>
      </c>
      <c r="B29" s="63" t="str">
        <f t="shared" si="0"/>
        <v>24N_SXH</v>
      </c>
      <c r="C29" s="62" t="s">
        <v>848</v>
      </c>
      <c r="D29" s="62" t="s">
        <v>834</v>
      </c>
      <c r="E29" s="64" t="s">
        <v>849</v>
      </c>
      <c r="F29" s="62" t="s">
        <v>850</v>
      </c>
      <c r="G29" s="62" t="s">
        <v>750</v>
      </c>
      <c r="H29" s="62" t="s">
        <v>282</v>
      </c>
      <c r="I29" s="62" t="s">
        <v>838</v>
      </c>
      <c r="J29" s="62" t="s">
        <v>839</v>
      </c>
      <c r="K29" s="62" t="s">
        <v>840</v>
      </c>
      <c r="L29" s="62" t="s">
        <v>841</v>
      </c>
      <c r="M29" s="62" t="s">
        <v>296</v>
      </c>
      <c r="N29" s="64"/>
      <c r="O29" s="62">
        <v>24</v>
      </c>
      <c r="P29" s="62">
        <v>850</v>
      </c>
      <c r="Q29" s="62" t="s">
        <v>940</v>
      </c>
      <c r="R29" s="62">
        <v>4</v>
      </c>
      <c r="S29" s="62">
        <v>4</v>
      </c>
      <c r="T29" s="62">
        <v>4</v>
      </c>
      <c r="U29" s="62">
        <v>15</v>
      </c>
      <c r="V29" s="62">
        <f t="shared" si="1"/>
        <v>6</v>
      </c>
      <c r="W29" s="62">
        <f t="shared" si="2"/>
        <v>3</v>
      </c>
      <c r="X29" s="62"/>
      <c r="Y29" s="16"/>
      <c r="Z29" s="1"/>
      <c r="AC29" s="1" t="s">
        <v>915</v>
      </c>
      <c r="AD29" s="81" t="s">
        <v>1606</v>
      </c>
      <c r="AF29" s="2">
        <f t="shared" si="3"/>
        <v>6</v>
      </c>
    </row>
    <row r="30" spans="1:32" ht="15" customHeight="1" x14ac:dyDescent="0.15">
      <c r="B30" s="11" t="str">
        <f t="shared" si="0"/>
        <v>30N_CPG</v>
      </c>
      <c r="C30" s="1" t="s">
        <v>1760</v>
      </c>
      <c r="D30" s="1" t="s">
        <v>746</v>
      </c>
      <c r="E30" s="2" t="s">
        <v>852</v>
      </c>
      <c r="F30" s="1" t="s">
        <v>828</v>
      </c>
      <c r="G30" s="1" t="s">
        <v>829</v>
      </c>
      <c r="H30" s="1" t="s">
        <v>280</v>
      </c>
      <c r="I30" s="1" t="s">
        <v>72</v>
      </c>
      <c r="J30" s="1" t="s">
        <v>748</v>
      </c>
      <c r="K30" s="1" t="s">
        <v>853</v>
      </c>
      <c r="L30" s="1" t="s">
        <v>831</v>
      </c>
      <c r="M30" s="1" t="s">
        <v>296</v>
      </c>
      <c r="O30" s="1">
        <v>30</v>
      </c>
      <c r="P30" s="1">
        <v>850</v>
      </c>
      <c r="Q30" s="1" t="s">
        <v>832</v>
      </c>
      <c r="R30" s="1">
        <v>3</v>
      </c>
      <c r="S30" s="1">
        <v>4</v>
      </c>
      <c r="T30" s="1">
        <v>8</v>
      </c>
      <c r="U30" s="1" t="s">
        <v>40</v>
      </c>
      <c r="V30" s="1">
        <f t="shared" si="1"/>
        <v>5</v>
      </c>
      <c r="W30" s="1">
        <f t="shared" si="2"/>
        <v>1</v>
      </c>
      <c r="X30" s="1"/>
      <c r="Y30" s="16"/>
      <c r="Z30" s="1">
        <v>20230506</v>
      </c>
      <c r="AA30" s="2" t="s">
        <v>851</v>
      </c>
      <c r="AC30" s="1" t="s">
        <v>845</v>
      </c>
      <c r="AD30" s="81" t="s">
        <v>1606</v>
      </c>
      <c r="AF30" s="2">
        <f t="shared" si="3"/>
        <v>5</v>
      </c>
    </row>
    <row r="31" spans="1:32" ht="15" customHeight="1" x14ac:dyDescent="0.15">
      <c r="B31" s="11" t="str">
        <f t="shared" si="0"/>
        <v>30N_CXG</v>
      </c>
      <c r="C31" s="1" t="s">
        <v>1760</v>
      </c>
      <c r="D31" s="1" t="s">
        <v>833</v>
      </c>
      <c r="E31" s="2" t="s">
        <v>852</v>
      </c>
      <c r="F31" s="1" t="s">
        <v>828</v>
      </c>
      <c r="G31" s="1" t="s">
        <v>750</v>
      </c>
      <c r="H31" s="1" t="s">
        <v>280</v>
      </c>
      <c r="I31" s="1" t="s">
        <v>72</v>
      </c>
      <c r="J31" s="1" t="s">
        <v>748</v>
      </c>
      <c r="K31" s="1" t="s">
        <v>853</v>
      </c>
      <c r="L31" s="1" t="s">
        <v>831</v>
      </c>
      <c r="M31" s="1" t="s">
        <v>296</v>
      </c>
      <c r="O31" s="1">
        <v>30</v>
      </c>
      <c r="P31" s="1">
        <v>850</v>
      </c>
      <c r="Q31" s="1" t="s">
        <v>832</v>
      </c>
      <c r="R31" s="1">
        <v>4</v>
      </c>
      <c r="S31" s="1">
        <v>4</v>
      </c>
      <c r="T31" s="1">
        <v>8</v>
      </c>
      <c r="U31" s="1" t="s">
        <v>40</v>
      </c>
      <c r="V31" s="1">
        <f t="shared" si="1"/>
        <v>5</v>
      </c>
      <c r="W31" s="1">
        <f t="shared" si="2"/>
        <v>2</v>
      </c>
      <c r="X31" s="1"/>
      <c r="Y31" s="16"/>
      <c r="Z31" s="1">
        <v>20230506</v>
      </c>
      <c r="AA31" s="2" t="s">
        <v>851</v>
      </c>
      <c r="AC31" s="1" t="s">
        <v>859</v>
      </c>
      <c r="AD31" s="81" t="s">
        <v>1606</v>
      </c>
      <c r="AF31" s="2">
        <f t="shared" si="3"/>
        <v>5</v>
      </c>
    </row>
    <row r="32" spans="1:32" ht="15" customHeight="1" x14ac:dyDescent="0.15">
      <c r="B32" s="11" t="str">
        <f t="shared" si="0"/>
        <v>30N_CXH</v>
      </c>
      <c r="C32" s="1" t="s">
        <v>1760</v>
      </c>
      <c r="D32" s="1" t="s">
        <v>834</v>
      </c>
      <c r="E32" s="2" t="s">
        <v>852</v>
      </c>
      <c r="F32" s="1" t="s">
        <v>828</v>
      </c>
      <c r="G32" s="1" t="s">
        <v>750</v>
      </c>
      <c r="H32" s="1" t="s">
        <v>282</v>
      </c>
      <c r="I32" s="1" t="s">
        <v>72</v>
      </c>
      <c r="J32" s="1" t="s">
        <v>748</v>
      </c>
      <c r="K32" s="1" t="s">
        <v>853</v>
      </c>
      <c r="L32" s="1" t="s">
        <v>831</v>
      </c>
      <c r="M32" s="1" t="s">
        <v>296</v>
      </c>
      <c r="O32" s="1">
        <v>30</v>
      </c>
      <c r="P32" s="1">
        <v>850</v>
      </c>
      <c r="Q32" s="1" t="s">
        <v>832</v>
      </c>
      <c r="R32" s="1">
        <v>4</v>
      </c>
      <c r="S32" s="1">
        <v>4</v>
      </c>
      <c r="T32" s="1">
        <v>8</v>
      </c>
      <c r="U32" s="1" t="s">
        <v>40</v>
      </c>
      <c r="V32" s="1">
        <f t="shared" si="1"/>
        <v>5</v>
      </c>
      <c r="W32" s="1">
        <f t="shared" si="2"/>
        <v>3</v>
      </c>
      <c r="X32" s="1"/>
      <c r="Y32" s="16"/>
      <c r="Z32" s="1">
        <v>20230506</v>
      </c>
      <c r="AA32" s="2" t="s">
        <v>851</v>
      </c>
      <c r="AC32" s="1" t="s">
        <v>872</v>
      </c>
      <c r="AD32" s="81"/>
      <c r="AF32" s="2">
        <f t="shared" si="3"/>
        <v>5</v>
      </c>
    </row>
    <row r="33" spans="1:32" ht="15" customHeight="1" x14ac:dyDescent="0.15">
      <c r="B33" s="11" t="str">
        <f t="shared" si="0"/>
        <v>30N_RPG</v>
      </c>
      <c r="C33" s="1" t="s">
        <v>854</v>
      </c>
      <c r="D33" s="1" t="s">
        <v>746</v>
      </c>
      <c r="E33" s="2" t="s">
        <v>855</v>
      </c>
      <c r="F33" s="1" t="s">
        <v>837</v>
      </c>
      <c r="G33" s="1" t="s">
        <v>829</v>
      </c>
      <c r="H33" s="1" t="s">
        <v>280</v>
      </c>
      <c r="I33" s="1" t="s">
        <v>838</v>
      </c>
      <c r="J33" s="1" t="s">
        <v>839</v>
      </c>
      <c r="K33" s="1" t="s">
        <v>856</v>
      </c>
      <c r="L33" s="1" t="s">
        <v>841</v>
      </c>
      <c r="M33" s="1" t="s">
        <v>296</v>
      </c>
      <c r="O33" s="1">
        <v>30</v>
      </c>
      <c r="P33" s="1">
        <v>850</v>
      </c>
      <c r="Q33" s="1" t="s">
        <v>940</v>
      </c>
      <c r="R33" s="1">
        <v>3</v>
      </c>
      <c r="S33" s="1">
        <v>4</v>
      </c>
      <c r="T33" s="1">
        <v>4</v>
      </c>
      <c r="U33" s="1">
        <v>15</v>
      </c>
      <c r="V33" s="1">
        <f t="shared" si="1"/>
        <v>6</v>
      </c>
      <c r="W33" s="1">
        <f t="shared" si="2"/>
        <v>1</v>
      </c>
      <c r="X33" s="1"/>
      <c r="Y33" s="16"/>
      <c r="Z33" s="1"/>
      <c r="AC33" s="1" t="s">
        <v>1593</v>
      </c>
      <c r="AD33" s="81"/>
      <c r="AF33" s="2">
        <f t="shared" si="3"/>
        <v>6</v>
      </c>
    </row>
    <row r="34" spans="1:32" ht="15" customHeight="1" x14ac:dyDescent="0.15">
      <c r="B34" s="11" t="str">
        <f t="shared" si="0"/>
        <v>30N_RXG</v>
      </c>
      <c r="C34" s="1" t="s">
        <v>854</v>
      </c>
      <c r="D34" s="1" t="s">
        <v>833</v>
      </c>
      <c r="E34" s="2" t="s">
        <v>855</v>
      </c>
      <c r="F34" s="1" t="s">
        <v>837</v>
      </c>
      <c r="G34" s="1" t="s">
        <v>750</v>
      </c>
      <c r="H34" s="1" t="s">
        <v>280</v>
      </c>
      <c r="I34" s="1" t="s">
        <v>838</v>
      </c>
      <c r="J34" s="1" t="s">
        <v>839</v>
      </c>
      <c r="K34" s="1" t="s">
        <v>856</v>
      </c>
      <c r="L34" s="1" t="s">
        <v>841</v>
      </c>
      <c r="M34" s="1" t="s">
        <v>296</v>
      </c>
      <c r="O34" s="1">
        <v>30</v>
      </c>
      <c r="P34" s="1">
        <v>850</v>
      </c>
      <c r="Q34" s="1" t="s">
        <v>940</v>
      </c>
      <c r="R34" s="1">
        <v>4</v>
      </c>
      <c r="S34" s="1">
        <v>4</v>
      </c>
      <c r="T34" s="1">
        <v>4</v>
      </c>
      <c r="U34" s="1">
        <v>15</v>
      </c>
      <c r="V34" s="1">
        <f t="shared" si="1"/>
        <v>6</v>
      </c>
      <c r="W34" s="1">
        <f t="shared" si="2"/>
        <v>2</v>
      </c>
      <c r="X34" s="1"/>
      <c r="Y34" s="16"/>
      <c r="Z34" s="1"/>
      <c r="AD34" s="1"/>
      <c r="AF34" s="2">
        <f t="shared" si="3"/>
        <v>6</v>
      </c>
    </row>
    <row r="35" spans="1:32" ht="15" customHeight="1" x14ac:dyDescent="0.15">
      <c r="B35" s="11" t="str">
        <f t="shared" si="0"/>
        <v>30N_RXH</v>
      </c>
      <c r="C35" s="1" t="s">
        <v>854</v>
      </c>
      <c r="D35" s="1" t="s">
        <v>834</v>
      </c>
      <c r="E35" s="2" t="s">
        <v>855</v>
      </c>
      <c r="F35" s="1" t="s">
        <v>837</v>
      </c>
      <c r="G35" s="1" t="s">
        <v>750</v>
      </c>
      <c r="H35" s="1" t="s">
        <v>282</v>
      </c>
      <c r="I35" s="1" t="s">
        <v>838</v>
      </c>
      <c r="J35" s="1" t="s">
        <v>839</v>
      </c>
      <c r="K35" s="1" t="s">
        <v>856</v>
      </c>
      <c r="L35" s="1" t="s">
        <v>841</v>
      </c>
      <c r="M35" s="1" t="s">
        <v>296</v>
      </c>
      <c r="O35" s="1">
        <v>30</v>
      </c>
      <c r="P35" s="1">
        <v>850</v>
      </c>
      <c r="Q35" s="1" t="s">
        <v>940</v>
      </c>
      <c r="R35" s="1">
        <v>4</v>
      </c>
      <c r="S35" s="1">
        <v>4</v>
      </c>
      <c r="T35" s="1">
        <v>4</v>
      </c>
      <c r="U35" s="1">
        <v>15</v>
      </c>
      <c r="V35" s="1">
        <f t="shared" si="1"/>
        <v>6</v>
      </c>
      <c r="W35" s="1">
        <f t="shared" si="2"/>
        <v>3</v>
      </c>
      <c r="X35" s="1"/>
      <c r="Y35" s="16"/>
      <c r="Z35" s="1"/>
      <c r="AF35" s="2">
        <f t="shared" si="3"/>
        <v>6</v>
      </c>
    </row>
    <row r="36" spans="1:32" ht="15" customHeight="1" x14ac:dyDescent="0.15">
      <c r="B36" s="11" t="str">
        <f t="shared" si="0"/>
        <v>30N_WPG</v>
      </c>
      <c r="C36" s="1" t="s">
        <v>1761</v>
      </c>
      <c r="D36" s="1" t="s">
        <v>746</v>
      </c>
      <c r="E36" s="2" t="s">
        <v>858</v>
      </c>
      <c r="F36" s="1" t="s">
        <v>844</v>
      </c>
      <c r="G36" s="1" t="s">
        <v>829</v>
      </c>
      <c r="H36" s="1" t="s">
        <v>280</v>
      </c>
      <c r="I36" s="1" t="s">
        <v>751</v>
      </c>
      <c r="J36" s="1" t="s">
        <v>748</v>
      </c>
      <c r="K36" s="1" t="s">
        <v>859</v>
      </c>
      <c r="L36" s="1" t="s">
        <v>831</v>
      </c>
      <c r="M36" s="1" t="s">
        <v>296</v>
      </c>
      <c r="O36" s="1">
        <v>30</v>
      </c>
      <c r="P36" s="1">
        <v>850</v>
      </c>
      <c r="Q36" s="1" t="s">
        <v>943</v>
      </c>
      <c r="R36" s="1">
        <v>3</v>
      </c>
      <c r="S36" s="1">
        <v>4</v>
      </c>
      <c r="T36" s="1">
        <v>8</v>
      </c>
      <c r="U36" s="1">
        <v>12</v>
      </c>
      <c r="V36" s="1">
        <f t="shared" si="1"/>
        <v>7</v>
      </c>
      <c r="W36" s="1">
        <f t="shared" si="2"/>
        <v>1</v>
      </c>
      <c r="X36" s="1"/>
      <c r="Y36" s="16"/>
      <c r="Z36" s="1">
        <v>20230506</v>
      </c>
      <c r="AA36" s="2" t="s">
        <v>857</v>
      </c>
      <c r="AF36" s="2">
        <f t="shared" si="3"/>
        <v>7</v>
      </c>
    </row>
    <row r="37" spans="1:32" ht="15" customHeight="1" x14ac:dyDescent="0.15">
      <c r="B37" s="11" t="str">
        <f t="shared" si="0"/>
        <v>30N_WXG</v>
      </c>
      <c r="C37" s="1" t="s">
        <v>1761</v>
      </c>
      <c r="D37" s="1" t="s">
        <v>833</v>
      </c>
      <c r="E37" s="2" t="s">
        <v>858</v>
      </c>
      <c r="F37" s="1" t="s">
        <v>844</v>
      </c>
      <c r="G37" s="1" t="s">
        <v>750</v>
      </c>
      <c r="H37" s="1" t="s">
        <v>280</v>
      </c>
      <c r="I37" s="1" t="s">
        <v>751</v>
      </c>
      <c r="J37" s="1" t="s">
        <v>748</v>
      </c>
      <c r="K37" s="1" t="s">
        <v>859</v>
      </c>
      <c r="L37" s="1" t="s">
        <v>831</v>
      </c>
      <c r="M37" s="1" t="s">
        <v>296</v>
      </c>
      <c r="O37" s="1">
        <v>30</v>
      </c>
      <c r="P37" s="1">
        <v>850</v>
      </c>
      <c r="Q37" s="1" t="s">
        <v>943</v>
      </c>
      <c r="R37" s="1">
        <v>4</v>
      </c>
      <c r="S37" s="1">
        <v>4</v>
      </c>
      <c r="T37" s="1">
        <v>8</v>
      </c>
      <c r="U37" s="1">
        <v>12</v>
      </c>
      <c r="V37" s="1">
        <f t="shared" si="1"/>
        <v>7</v>
      </c>
      <c r="W37" s="1">
        <f t="shared" si="2"/>
        <v>2</v>
      </c>
      <c r="X37" s="1"/>
      <c r="Y37" s="16"/>
      <c r="Z37" s="1">
        <v>20230506</v>
      </c>
      <c r="AA37" s="2" t="s">
        <v>857</v>
      </c>
      <c r="AF37" s="2">
        <f t="shared" si="3"/>
        <v>7</v>
      </c>
    </row>
    <row r="38" spans="1:32" ht="15" customHeight="1" x14ac:dyDescent="0.15">
      <c r="B38" s="11" t="str">
        <f t="shared" si="0"/>
        <v>30N_WXH</v>
      </c>
      <c r="C38" s="1" t="s">
        <v>1761</v>
      </c>
      <c r="D38" s="1" t="s">
        <v>834</v>
      </c>
      <c r="E38" s="2" t="s">
        <v>858</v>
      </c>
      <c r="F38" s="1" t="s">
        <v>844</v>
      </c>
      <c r="G38" s="1" t="s">
        <v>750</v>
      </c>
      <c r="H38" s="1" t="s">
        <v>282</v>
      </c>
      <c r="I38" s="1" t="s">
        <v>751</v>
      </c>
      <c r="J38" s="1" t="s">
        <v>748</v>
      </c>
      <c r="K38" s="1" t="s">
        <v>859</v>
      </c>
      <c r="L38" s="1" t="s">
        <v>831</v>
      </c>
      <c r="M38" s="1" t="s">
        <v>296</v>
      </c>
      <c r="O38" s="1">
        <v>30</v>
      </c>
      <c r="P38" s="1">
        <v>850</v>
      </c>
      <c r="Q38" s="1" t="s">
        <v>943</v>
      </c>
      <c r="R38" s="1">
        <v>4</v>
      </c>
      <c r="S38" s="1">
        <v>4</v>
      </c>
      <c r="T38" s="1">
        <v>8</v>
      </c>
      <c r="U38" s="1">
        <v>12</v>
      </c>
      <c r="V38" s="1">
        <f t="shared" si="1"/>
        <v>7</v>
      </c>
      <c r="W38" s="1">
        <f t="shared" si="2"/>
        <v>3</v>
      </c>
      <c r="X38" s="1"/>
      <c r="Y38" s="16"/>
      <c r="Z38" s="1">
        <v>20230506</v>
      </c>
      <c r="AA38" s="2" t="s">
        <v>857</v>
      </c>
      <c r="AF38" s="2">
        <f t="shared" si="3"/>
        <v>7</v>
      </c>
    </row>
    <row r="39" spans="1:32" ht="15" customHeight="1" x14ac:dyDescent="0.15">
      <c r="B39" s="11" t="str">
        <f t="shared" si="0"/>
        <v>30N_DPG</v>
      </c>
      <c r="C39" s="1" t="s">
        <v>1762</v>
      </c>
      <c r="D39" s="1" t="s">
        <v>746</v>
      </c>
      <c r="E39" s="2" t="s">
        <v>861</v>
      </c>
      <c r="F39" s="1" t="s">
        <v>99</v>
      </c>
      <c r="G39" s="1" t="s">
        <v>829</v>
      </c>
      <c r="H39" s="1" t="s">
        <v>280</v>
      </c>
      <c r="I39" s="1" t="s">
        <v>72</v>
      </c>
      <c r="J39" s="1" t="s">
        <v>748</v>
      </c>
      <c r="K39" s="1" t="s">
        <v>1592</v>
      </c>
      <c r="L39" s="1" t="s">
        <v>831</v>
      </c>
      <c r="M39" s="1" t="s">
        <v>296</v>
      </c>
      <c r="O39" s="1">
        <v>30</v>
      </c>
      <c r="P39" s="1">
        <v>850</v>
      </c>
      <c r="Q39" s="1" t="s">
        <v>832</v>
      </c>
      <c r="R39" s="1">
        <v>3</v>
      </c>
      <c r="S39" s="1">
        <v>4</v>
      </c>
      <c r="T39" s="1">
        <v>8</v>
      </c>
      <c r="U39" s="1" t="s">
        <v>40</v>
      </c>
      <c r="V39" s="1">
        <f t="shared" si="1"/>
        <v>5</v>
      </c>
      <c r="W39" s="1">
        <f t="shared" si="2"/>
        <v>1</v>
      </c>
      <c r="X39" s="1"/>
      <c r="Y39" s="16"/>
      <c r="Z39" s="1">
        <v>20230506</v>
      </c>
      <c r="AA39" s="2" t="s">
        <v>860</v>
      </c>
      <c r="AF39" s="2">
        <f t="shared" si="3"/>
        <v>5</v>
      </c>
    </row>
    <row r="40" spans="1:32" ht="15" customHeight="1" x14ac:dyDescent="0.15">
      <c r="B40" s="11" t="str">
        <f t="shared" si="0"/>
        <v>30N_DXG</v>
      </c>
      <c r="C40" s="1" t="s">
        <v>1762</v>
      </c>
      <c r="D40" s="1" t="s">
        <v>833</v>
      </c>
      <c r="E40" s="2" t="s">
        <v>861</v>
      </c>
      <c r="F40" s="1" t="s">
        <v>99</v>
      </c>
      <c r="G40" s="1" t="s">
        <v>750</v>
      </c>
      <c r="H40" s="1" t="s">
        <v>280</v>
      </c>
      <c r="I40" s="1" t="s">
        <v>72</v>
      </c>
      <c r="J40" s="1" t="s">
        <v>748</v>
      </c>
      <c r="K40" s="1" t="s">
        <v>1592</v>
      </c>
      <c r="L40" s="1" t="s">
        <v>831</v>
      </c>
      <c r="M40" s="1" t="s">
        <v>296</v>
      </c>
      <c r="O40" s="1">
        <v>30</v>
      </c>
      <c r="P40" s="1">
        <v>850</v>
      </c>
      <c r="Q40" s="1" t="s">
        <v>832</v>
      </c>
      <c r="R40" s="1">
        <v>4</v>
      </c>
      <c r="S40" s="1">
        <v>4</v>
      </c>
      <c r="T40" s="1">
        <v>8</v>
      </c>
      <c r="U40" s="1" t="s">
        <v>40</v>
      </c>
      <c r="V40" s="1">
        <f t="shared" si="1"/>
        <v>5</v>
      </c>
      <c r="W40" s="1">
        <f t="shared" si="2"/>
        <v>2</v>
      </c>
      <c r="X40" s="1"/>
      <c r="Y40" s="16"/>
      <c r="Z40" s="1">
        <v>20230506</v>
      </c>
      <c r="AA40" s="2" t="s">
        <v>860</v>
      </c>
      <c r="AF40" s="2">
        <f t="shared" si="3"/>
        <v>5</v>
      </c>
    </row>
    <row r="41" spans="1:32" ht="15" customHeight="1" x14ac:dyDescent="0.15">
      <c r="B41" s="11" t="str">
        <f t="shared" si="0"/>
        <v>30N_DXH</v>
      </c>
      <c r="C41" s="1" t="s">
        <v>1762</v>
      </c>
      <c r="D41" s="1" t="s">
        <v>834</v>
      </c>
      <c r="E41" s="2" t="s">
        <v>861</v>
      </c>
      <c r="F41" s="1" t="s">
        <v>99</v>
      </c>
      <c r="G41" s="1" t="s">
        <v>750</v>
      </c>
      <c r="H41" s="1" t="s">
        <v>282</v>
      </c>
      <c r="I41" s="1" t="s">
        <v>72</v>
      </c>
      <c r="J41" s="1" t="s">
        <v>748</v>
      </c>
      <c r="K41" s="1" t="s">
        <v>1592</v>
      </c>
      <c r="L41" s="1" t="s">
        <v>831</v>
      </c>
      <c r="M41" s="1" t="s">
        <v>296</v>
      </c>
      <c r="O41" s="1">
        <v>30</v>
      </c>
      <c r="P41" s="1">
        <v>850</v>
      </c>
      <c r="Q41" s="1" t="s">
        <v>832</v>
      </c>
      <c r="R41" s="1">
        <v>4</v>
      </c>
      <c r="S41" s="1">
        <v>4</v>
      </c>
      <c r="T41" s="1">
        <v>8</v>
      </c>
      <c r="U41" s="1" t="s">
        <v>40</v>
      </c>
      <c r="V41" s="1">
        <f t="shared" si="1"/>
        <v>5</v>
      </c>
      <c r="W41" s="1">
        <f t="shared" si="2"/>
        <v>3</v>
      </c>
      <c r="X41" s="1"/>
      <c r="Y41" s="16"/>
      <c r="Z41" s="1">
        <v>20230506</v>
      </c>
      <c r="AA41" s="2" t="s">
        <v>860</v>
      </c>
      <c r="AF41" s="2">
        <f t="shared" si="3"/>
        <v>5</v>
      </c>
    </row>
    <row r="42" spans="1:32" ht="15" customHeight="1" x14ac:dyDescent="0.15">
      <c r="A42" s="2" t="s">
        <v>1591</v>
      </c>
      <c r="B42" s="63" t="str">
        <f t="shared" si="0"/>
        <v>30N_SPG</v>
      </c>
      <c r="C42" s="62" t="s">
        <v>862</v>
      </c>
      <c r="D42" s="62" t="s">
        <v>746</v>
      </c>
      <c r="E42" s="64" t="s">
        <v>863</v>
      </c>
      <c r="F42" s="62" t="s">
        <v>850</v>
      </c>
      <c r="G42" s="62" t="s">
        <v>829</v>
      </c>
      <c r="H42" s="62" t="s">
        <v>280</v>
      </c>
      <c r="I42" s="62" t="s">
        <v>838</v>
      </c>
      <c r="J42" s="62" t="s">
        <v>839</v>
      </c>
      <c r="K42" s="62" t="s">
        <v>856</v>
      </c>
      <c r="L42" s="62" t="s">
        <v>841</v>
      </c>
      <c r="M42" s="62" t="s">
        <v>296</v>
      </c>
      <c r="N42" s="64"/>
      <c r="O42" s="62">
        <v>30</v>
      </c>
      <c r="P42" s="62">
        <v>850</v>
      </c>
      <c r="Q42" s="62" t="s">
        <v>940</v>
      </c>
      <c r="R42" s="62">
        <v>3</v>
      </c>
      <c r="S42" s="62">
        <v>4</v>
      </c>
      <c r="T42" s="62">
        <v>4</v>
      </c>
      <c r="U42" s="62">
        <v>15</v>
      </c>
      <c r="V42" s="62">
        <f t="shared" si="1"/>
        <v>6</v>
      </c>
      <c r="W42" s="62">
        <f t="shared" si="2"/>
        <v>1</v>
      </c>
      <c r="X42" s="62"/>
      <c r="Y42" s="16"/>
      <c r="Z42" s="1"/>
      <c r="AF42" s="2">
        <f t="shared" si="3"/>
        <v>6</v>
      </c>
    </row>
    <row r="43" spans="1:32" ht="15" customHeight="1" x14ac:dyDescent="0.15">
      <c r="A43" s="2" t="s">
        <v>1591</v>
      </c>
      <c r="B43" s="63" t="str">
        <f t="shared" si="0"/>
        <v>30N_SXG</v>
      </c>
      <c r="C43" s="62" t="s">
        <v>862</v>
      </c>
      <c r="D43" s="62" t="s">
        <v>833</v>
      </c>
      <c r="E43" s="64" t="s">
        <v>863</v>
      </c>
      <c r="F43" s="62" t="s">
        <v>850</v>
      </c>
      <c r="G43" s="62" t="s">
        <v>750</v>
      </c>
      <c r="H43" s="62" t="s">
        <v>280</v>
      </c>
      <c r="I43" s="62" t="s">
        <v>838</v>
      </c>
      <c r="J43" s="62" t="s">
        <v>839</v>
      </c>
      <c r="K43" s="62" t="s">
        <v>856</v>
      </c>
      <c r="L43" s="62" t="s">
        <v>841</v>
      </c>
      <c r="M43" s="62" t="s">
        <v>296</v>
      </c>
      <c r="N43" s="64"/>
      <c r="O43" s="62">
        <v>30</v>
      </c>
      <c r="P43" s="62">
        <v>850</v>
      </c>
      <c r="Q43" s="62" t="s">
        <v>940</v>
      </c>
      <c r="R43" s="62">
        <v>4</v>
      </c>
      <c r="S43" s="62">
        <v>4</v>
      </c>
      <c r="T43" s="62">
        <v>4</v>
      </c>
      <c r="U43" s="62">
        <v>15</v>
      </c>
      <c r="V43" s="62">
        <f t="shared" si="1"/>
        <v>6</v>
      </c>
      <c r="W43" s="62">
        <f t="shared" si="2"/>
        <v>2</v>
      </c>
      <c r="X43" s="62"/>
      <c r="Y43" s="16"/>
      <c r="Z43" s="1"/>
      <c r="AF43" s="2">
        <f t="shared" si="3"/>
        <v>6</v>
      </c>
    </row>
    <row r="44" spans="1:32" ht="15" customHeight="1" x14ac:dyDescent="0.15">
      <c r="A44" s="2" t="s">
        <v>1591</v>
      </c>
      <c r="B44" s="63" t="str">
        <f t="shared" si="0"/>
        <v>30N_SXH</v>
      </c>
      <c r="C44" s="62" t="s">
        <v>862</v>
      </c>
      <c r="D44" s="62" t="s">
        <v>834</v>
      </c>
      <c r="E44" s="64" t="s">
        <v>863</v>
      </c>
      <c r="F44" s="62" t="s">
        <v>850</v>
      </c>
      <c r="G44" s="62" t="s">
        <v>750</v>
      </c>
      <c r="H44" s="62" t="s">
        <v>282</v>
      </c>
      <c r="I44" s="62" t="s">
        <v>838</v>
      </c>
      <c r="J44" s="62" t="s">
        <v>839</v>
      </c>
      <c r="K44" s="62" t="s">
        <v>856</v>
      </c>
      <c r="L44" s="62" t="s">
        <v>841</v>
      </c>
      <c r="M44" s="62" t="s">
        <v>296</v>
      </c>
      <c r="N44" s="64"/>
      <c r="O44" s="62">
        <v>30</v>
      </c>
      <c r="P44" s="62">
        <v>850</v>
      </c>
      <c r="Q44" s="62" t="s">
        <v>940</v>
      </c>
      <c r="R44" s="62">
        <v>4</v>
      </c>
      <c r="S44" s="62">
        <v>4</v>
      </c>
      <c r="T44" s="62">
        <v>4</v>
      </c>
      <c r="U44" s="62">
        <v>15</v>
      </c>
      <c r="V44" s="62">
        <f t="shared" si="1"/>
        <v>6</v>
      </c>
      <c r="W44" s="62">
        <f t="shared" si="2"/>
        <v>3</v>
      </c>
      <c r="X44" s="62"/>
      <c r="Y44" s="16"/>
      <c r="Z44" s="1"/>
      <c r="AF44" s="2">
        <f t="shared" si="3"/>
        <v>6</v>
      </c>
    </row>
    <row r="45" spans="1:32" ht="15" customHeight="1" x14ac:dyDescent="0.15">
      <c r="B45" s="11" t="str">
        <f t="shared" si="0"/>
        <v>40N_CPG</v>
      </c>
      <c r="C45" s="1" t="s">
        <v>1763</v>
      </c>
      <c r="D45" s="1" t="s">
        <v>746</v>
      </c>
      <c r="E45" s="2" t="s">
        <v>865</v>
      </c>
      <c r="F45" s="1" t="s">
        <v>828</v>
      </c>
      <c r="G45" s="1" t="s">
        <v>829</v>
      </c>
      <c r="H45" s="1" t="s">
        <v>280</v>
      </c>
      <c r="I45" s="1" t="s">
        <v>72</v>
      </c>
      <c r="J45" s="1" t="s">
        <v>748</v>
      </c>
      <c r="K45" s="1" t="s">
        <v>866</v>
      </c>
      <c r="L45" s="1" t="s">
        <v>831</v>
      </c>
      <c r="M45" s="1" t="s">
        <v>296</v>
      </c>
      <c r="O45" s="1">
        <v>40</v>
      </c>
      <c r="P45" s="1">
        <v>850</v>
      </c>
      <c r="Q45" s="1" t="s">
        <v>832</v>
      </c>
      <c r="R45" s="1">
        <v>3</v>
      </c>
      <c r="S45" s="1">
        <v>4</v>
      </c>
      <c r="T45" s="1">
        <v>8</v>
      </c>
      <c r="U45" s="1" t="s">
        <v>40</v>
      </c>
      <c r="V45" s="1">
        <f t="shared" si="1"/>
        <v>5</v>
      </c>
      <c r="W45" s="1">
        <f t="shared" si="2"/>
        <v>1</v>
      </c>
      <c r="X45" s="1"/>
      <c r="Y45" s="16"/>
      <c r="Z45" s="1">
        <v>20230506</v>
      </c>
      <c r="AA45" s="2" t="s">
        <v>864</v>
      </c>
      <c r="AF45" s="2">
        <f t="shared" si="3"/>
        <v>5</v>
      </c>
    </row>
    <row r="46" spans="1:32" ht="15" customHeight="1" x14ac:dyDescent="0.15">
      <c r="B46" s="11" t="str">
        <f t="shared" si="0"/>
        <v>40N_CXG</v>
      </c>
      <c r="C46" s="1" t="s">
        <v>1763</v>
      </c>
      <c r="D46" s="1" t="s">
        <v>833</v>
      </c>
      <c r="E46" s="2" t="s">
        <v>865</v>
      </c>
      <c r="F46" s="1" t="s">
        <v>828</v>
      </c>
      <c r="G46" s="1" t="s">
        <v>750</v>
      </c>
      <c r="H46" s="1" t="s">
        <v>280</v>
      </c>
      <c r="I46" s="1" t="s">
        <v>72</v>
      </c>
      <c r="J46" s="1" t="s">
        <v>748</v>
      </c>
      <c r="K46" s="1" t="s">
        <v>866</v>
      </c>
      <c r="L46" s="1" t="s">
        <v>831</v>
      </c>
      <c r="M46" s="1" t="s">
        <v>296</v>
      </c>
      <c r="O46" s="1">
        <v>40</v>
      </c>
      <c r="P46" s="1">
        <v>850</v>
      </c>
      <c r="Q46" s="1" t="s">
        <v>832</v>
      </c>
      <c r="R46" s="1">
        <v>4</v>
      </c>
      <c r="S46" s="1">
        <v>4</v>
      </c>
      <c r="T46" s="1">
        <v>8</v>
      </c>
      <c r="U46" s="1" t="s">
        <v>40</v>
      </c>
      <c r="V46" s="1">
        <f t="shared" si="1"/>
        <v>5</v>
      </c>
      <c r="W46" s="1">
        <f t="shared" si="2"/>
        <v>2</v>
      </c>
      <c r="X46" s="1"/>
      <c r="Y46" s="16"/>
      <c r="Z46" s="1">
        <v>20230506</v>
      </c>
      <c r="AA46" s="2" t="s">
        <v>864</v>
      </c>
      <c r="AF46" s="2">
        <f t="shared" si="3"/>
        <v>5</v>
      </c>
    </row>
    <row r="47" spans="1:32" ht="15" customHeight="1" x14ac:dyDescent="0.15">
      <c r="B47" s="11" t="str">
        <f t="shared" ref="B47:B78" si="4">CONCATENATE($O47,VLOOKUP(P47,cat,2,FALSE),"_",VLOOKUP(F47,mat,2,FALSE),VLOOKUP(G47,cop,2,FALSE),VLOOKUP(H47,chg,2,FALSE))</f>
        <v>40N_CXH</v>
      </c>
      <c r="C47" s="1" t="s">
        <v>1763</v>
      </c>
      <c r="D47" s="1" t="s">
        <v>834</v>
      </c>
      <c r="E47" s="2" t="s">
        <v>865</v>
      </c>
      <c r="F47" s="1" t="s">
        <v>828</v>
      </c>
      <c r="G47" s="1" t="s">
        <v>750</v>
      </c>
      <c r="H47" s="1" t="s">
        <v>282</v>
      </c>
      <c r="I47" s="1" t="s">
        <v>72</v>
      </c>
      <c r="J47" s="1" t="s">
        <v>748</v>
      </c>
      <c r="K47" s="1" t="s">
        <v>866</v>
      </c>
      <c r="L47" s="1" t="s">
        <v>831</v>
      </c>
      <c r="M47" s="1" t="s">
        <v>296</v>
      </c>
      <c r="O47" s="1">
        <v>40</v>
      </c>
      <c r="P47" s="1">
        <v>850</v>
      </c>
      <c r="Q47" s="1" t="s">
        <v>832</v>
      </c>
      <c r="R47" s="1">
        <v>4</v>
      </c>
      <c r="S47" s="1">
        <v>4</v>
      </c>
      <c r="T47" s="1">
        <v>8</v>
      </c>
      <c r="U47" s="1" t="s">
        <v>40</v>
      </c>
      <c r="V47" s="1">
        <f t="shared" si="1"/>
        <v>5</v>
      </c>
      <c r="W47" s="1">
        <f t="shared" si="2"/>
        <v>3</v>
      </c>
      <c r="X47" s="1"/>
      <c r="Y47" s="16"/>
      <c r="Z47" s="1">
        <v>20230506</v>
      </c>
      <c r="AA47" s="2" t="s">
        <v>864</v>
      </c>
      <c r="AF47" s="2">
        <f t="shared" si="3"/>
        <v>5</v>
      </c>
    </row>
    <row r="48" spans="1:32" ht="15" customHeight="1" x14ac:dyDescent="0.15">
      <c r="B48" s="11" t="str">
        <f t="shared" si="4"/>
        <v>40N_RPG</v>
      </c>
      <c r="C48" s="1" t="s">
        <v>867</v>
      </c>
      <c r="D48" s="1" t="s">
        <v>746</v>
      </c>
      <c r="E48" s="2" t="s">
        <v>868</v>
      </c>
      <c r="F48" s="1" t="s">
        <v>837</v>
      </c>
      <c r="G48" s="1" t="s">
        <v>829</v>
      </c>
      <c r="H48" s="1" t="s">
        <v>280</v>
      </c>
      <c r="I48" s="1" t="s">
        <v>838</v>
      </c>
      <c r="J48" s="1" t="s">
        <v>839</v>
      </c>
      <c r="K48" s="1" t="s">
        <v>869</v>
      </c>
      <c r="L48" s="1" t="s">
        <v>841</v>
      </c>
      <c r="M48" s="1" t="s">
        <v>296</v>
      </c>
      <c r="O48" s="1">
        <v>40</v>
      </c>
      <c r="P48" s="1">
        <v>850</v>
      </c>
      <c r="Q48" s="1" t="s">
        <v>940</v>
      </c>
      <c r="R48" s="1">
        <v>3</v>
      </c>
      <c r="S48" s="1">
        <v>4</v>
      </c>
      <c r="T48" s="1">
        <v>4</v>
      </c>
      <c r="U48" s="1">
        <v>15</v>
      </c>
      <c r="V48" s="1">
        <f t="shared" si="1"/>
        <v>6</v>
      </c>
      <c r="W48" s="1">
        <f t="shared" si="2"/>
        <v>1</v>
      </c>
      <c r="X48" s="1"/>
      <c r="Y48" s="16"/>
      <c r="Z48" s="1"/>
      <c r="AF48" s="2">
        <f t="shared" si="3"/>
        <v>6</v>
      </c>
    </row>
    <row r="49" spans="1:32" ht="15" customHeight="1" x14ac:dyDescent="0.15">
      <c r="B49" s="11" t="str">
        <f t="shared" si="4"/>
        <v>40N_RXG</v>
      </c>
      <c r="C49" s="1" t="s">
        <v>867</v>
      </c>
      <c r="D49" s="1" t="s">
        <v>833</v>
      </c>
      <c r="E49" s="2" t="s">
        <v>868</v>
      </c>
      <c r="F49" s="1" t="s">
        <v>837</v>
      </c>
      <c r="G49" s="1" t="s">
        <v>750</v>
      </c>
      <c r="H49" s="1" t="s">
        <v>280</v>
      </c>
      <c r="I49" s="1" t="s">
        <v>838</v>
      </c>
      <c r="J49" s="1" t="s">
        <v>839</v>
      </c>
      <c r="K49" s="1" t="s">
        <v>869</v>
      </c>
      <c r="L49" s="1" t="s">
        <v>841</v>
      </c>
      <c r="M49" s="1" t="s">
        <v>296</v>
      </c>
      <c r="O49" s="1">
        <v>40</v>
      </c>
      <c r="P49" s="1">
        <v>850</v>
      </c>
      <c r="Q49" s="1" t="s">
        <v>940</v>
      </c>
      <c r="R49" s="1">
        <v>4</v>
      </c>
      <c r="S49" s="1">
        <v>4</v>
      </c>
      <c r="T49" s="1">
        <v>4</v>
      </c>
      <c r="U49" s="1">
        <v>15</v>
      </c>
      <c r="V49" s="1">
        <f t="shared" si="1"/>
        <v>6</v>
      </c>
      <c r="W49" s="1">
        <f t="shared" si="2"/>
        <v>2</v>
      </c>
      <c r="X49" s="1"/>
      <c r="Y49" s="16"/>
      <c r="Z49" s="1"/>
      <c r="AF49" s="2">
        <f t="shared" si="3"/>
        <v>6</v>
      </c>
    </row>
    <row r="50" spans="1:32" ht="15" customHeight="1" x14ac:dyDescent="0.15">
      <c r="B50" s="11" t="str">
        <f t="shared" si="4"/>
        <v>40N_RXH</v>
      </c>
      <c r="C50" s="1" t="s">
        <v>867</v>
      </c>
      <c r="D50" s="1" t="s">
        <v>834</v>
      </c>
      <c r="E50" s="2" t="s">
        <v>868</v>
      </c>
      <c r="F50" s="1" t="s">
        <v>837</v>
      </c>
      <c r="G50" s="1" t="s">
        <v>750</v>
      </c>
      <c r="H50" s="1" t="s">
        <v>282</v>
      </c>
      <c r="I50" s="1" t="s">
        <v>838</v>
      </c>
      <c r="J50" s="1" t="s">
        <v>839</v>
      </c>
      <c r="K50" s="1" t="s">
        <v>869</v>
      </c>
      <c r="L50" s="1" t="s">
        <v>841</v>
      </c>
      <c r="M50" s="1" t="s">
        <v>296</v>
      </c>
      <c r="O50" s="1">
        <v>40</v>
      </c>
      <c r="P50" s="1">
        <v>850</v>
      </c>
      <c r="Q50" s="1" t="s">
        <v>940</v>
      </c>
      <c r="R50" s="1">
        <v>4</v>
      </c>
      <c r="S50" s="1">
        <v>4</v>
      </c>
      <c r="T50" s="1">
        <v>4</v>
      </c>
      <c r="U50" s="1">
        <v>15</v>
      </c>
      <c r="V50" s="1">
        <f t="shared" si="1"/>
        <v>6</v>
      </c>
      <c r="W50" s="1">
        <f t="shared" si="2"/>
        <v>3</v>
      </c>
      <c r="X50" s="1"/>
      <c r="Y50" s="16"/>
      <c r="Z50" s="1"/>
      <c r="AF50" s="2">
        <f t="shared" si="3"/>
        <v>6</v>
      </c>
    </row>
    <row r="51" spans="1:32" ht="15" customHeight="1" x14ac:dyDescent="0.15">
      <c r="B51" s="11" t="str">
        <f t="shared" si="4"/>
        <v>40N_WPG</v>
      </c>
      <c r="C51" s="1" t="s">
        <v>1764</v>
      </c>
      <c r="D51" s="1" t="s">
        <v>746</v>
      </c>
      <c r="E51" s="2" t="s">
        <v>871</v>
      </c>
      <c r="F51" s="1" t="s">
        <v>844</v>
      </c>
      <c r="G51" s="1" t="s">
        <v>829</v>
      </c>
      <c r="H51" s="1" t="s">
        <v>280</v>
      </c>
      <c r="I51" s="1" t="s">
        <v>751</v>
      </c>
      <c r="J51" s="1" t="s">
        <v>748</v>
      </c>
      <c r="K51" s="1" t="s">
        <v>872</v>
      </c>
      <c r="L51" s="1" t="s">
        <v>831</v>
      </c>
      <c r="M51" s="1" t="s">
        <v>296</v>
      </c>
      <c r="O51" s="1">
        <v>40</v>
      </c>
      <c r="P51" s="1">
        <v>850</v>
      </c>
      <c r="Q51" s="1" t="s">
        <v>943</v>
      </c>
      <c r="R51" s="1">
        <v>3</v>
      </c>
      <c r="S51" s="1">
        <v>4</v>
      </c>
      <c r="T51" s="1">
        <v>8</v>
      </c>
      <c r="U51" s="1">
        <v>12</v>
      </c>
      <c r="V51" s="1">
        <f t="shared" si="1"/>
        <v>7</v>
      </c>
      <c r="W51" s="1">
        <f t="shared" si="2"/>
        <v>1</v>
      </c>
      <c r="X51" s="1"/>
      <c r="Y51" s="16"/>
      <c r="Z51" s="1">
        <v>20230506</v>
      </c>
      <c r="AA51" s="2" t="s">
        <v>870</v>
      </c>
      <c r="AF51" s="2">
        <f t="shared" si="3"/>
        <v>7</v>
      </c>
    </row>
    <row r="52" spans="1:32" ht="15" customHeight="1" x14ac:dyDescent="0.15">
      <c r="B52" s="11" t="str">
        <f t="shared" si="4"/>
        <v>40N_WXG</v>
      </c>
      <c r="C52" s="1" t="s">
        <v>1764</v>
      </c>
      <c r="D52" s="1" t="s">
        <v>833</v>
      </c>
      <c r="E52" s="2" t="s">
        <v>871</v>
      </c>
      <c r="F52" s="1" t="s">
        <v>844</v>
      </c>
      <c r="G52" s="1" t="s">
        <v>750</v>
      </c>
      <c r="H52" s="1" t="s">
        <v>280</v>
      </c>
      <c r="I52" s="1" t="s">
        <v>751</v>
      </c>
      <c r="J52" s="1" t="s">
        <v>748</v>
      </c>
      <c r="K52" s="1" t="s">
        <v>872</v>
      </c>
      <c r="L52" s="1" t="s">
        <v>831</v>
      </c>
      <c r="M52" s="1" t="s">
        <v>296</v>
      </c>
      <c r="O52" s="1">
        <v>40</v>
      </c>
      <c r="P52" s="1">
        <v>850</v>
      </c>
      <c r="Q52" s="1" t="s">
        <v>943</v>
      </c>
      <c r="R52" s="1">
        <v>4</v>
      </c>
      <c r="S52" s="1">
        <v>4</v>
      </c>
      <c r="T52" s="1">
        <v>8</v>
      </c>
      <c r="U52" s="1">
        <v>12</v>
      </c>
      <c r="V52" s="1">
        <f t="shared" si="1"/>
        <v>7</v>
      </c>
      <c r="W52" s="1">
        <f t="shared" si="2"/>
        <v>2</v>
      </c>
      <c r="X52" s="1"/>
      <c r="Y52" s="16"/>
      <c r="Z52" s="1">
        <v>20230506</v>
      </c>
      <c r="AA52" s="2" t="s">
        <v>870</v>
      </c>
      <c r="AF52" s="2">
        <f t="shared" si="3"/>
        <v>7</v>
      </c>
    </row>
    <row r="53" spans="1:32" ht="15" customHeight="1" x14ac:dyDescent="0.15">
      <c r="B53" s="11" t="str">
        <f t="shared" si="4"/>
        <v>40N_WXH</v>
      </c>
      <c r="C53" s="1" t="s">
        <v>1764</v>
      </c>
      <c r="D53" s="1" t="s">
        <v>834</v>
      </c>
      <c r="E53" s="2" t="s">
        <v>871</v>
      </c>
      <c r="F53" s="1" t="s">
        <v>844</v>
      </c>
      <c r="G53" s="1" t="s">
        <v>750</v>
      </c>
      <c r="H53" s="1" t="s">
        <v>282</v>
      </c>
      <c r="I53" s="1" t="s">
        <v>751</v>
      </c>
      <c r="J53" s="1" t="s">
        <v>748</v>
      </c>
      <c r="K53" s="1" t="s">
        <v>872</v>
      </c>
      <c r="L53" s="1" t="s">
        <v>831</v>
      </c>
      <c r="M53" s="1" t="s">
        <v>296</v>
      </c>
      <c r="O53" s="1">
        <v>40</v>
      </c>
      <c r="P53" s="1">
        <v>850</v>
      </c>
      <c r="Q53" s="1" t="s">
        <v>943</v>
      </c>
      <c r="R53" s="1">
        <v>4</v>
      </c>
      <c r="S53" s="1">
        <v>4</v>
      </c>
      <c r="T53" s="1">
        <v>8</v>
      </c>
      <c r="U53" s="1">
        <v>12</v>
      </c>
      <c r="V53" s="1">
        <f t="shared" si="1"/>
        <v>7</v>
      </c>
      <c r="W53" s="1">
        <f t="shared" si="2"/>
        <v>3</v>
      </c>
      <c r="X53" s="1"/>
      <c r="Y53" s="16"/>
      <c r="Z53" s="1">
        <v>20230506</v>
      </c>
      <c r="AA53" s="2" t="s">
        <v>870</v>
      </c>
      <c r="AF53" s="2">
        <f t="shared" si="3"/>
        <v>7</v>
      </c>
    </row>
    <row r="54" spans="1:32" ht="15" customHeight="1" x14ac:dyDescent="0.15">
      <c r="B54" s="11" t="str">
        <f t="shared" si="4"/>
        <v>40N_DPG</v>
      </c>
      <c r="C54" s="1" t="s">
        <v>1765</v>
      </c>
      <c r="D54" s="1" t="s">
        <v>746</v>
      </c>
      <c r="E54" s="2" t="s">
        <v>874</v>
      </c>
      <c r="F54" s="1" t="s">
        <v>99</v>
      </c>
      <c r="G54" s="1" t="s">
        <v>829</v>
      </c>
      <c r="H54" s="1" t="s">
        <v>280</v>
      </c>
      <c r="I54" s="1" t="s">
        <v>72</v>
      </c>
      <c r="J54" s="1" t="s">
        <v>748</v>
      </c>
      <c r="K54" s="1" t="s">
        <v>1674</v>
      </c>
      <c r="L54" s="1" t="s">
        <v>831</v>
      </c>
      <c r="M54" s="1" t="s">
        <v>296</v>
      </c>
      <c r="O54" s="1">
        <v>40</v>
      </c>
      <c r="P54" s="1">
        <v>850</v>
      </c>
      <c r="Q54" s="1" t="s">
        <v>832</v>
      </c>
      <c r="R54" s="1">
        <v>3</v>
      </c>
      <c r="S54" s="1">
        <v>4</v>
      </c>
      <c r="T54" s="1">
        <v>8</v>
      </c>
      <c r="U54" s="1" t="s">
        <v>40</v>
      </c>
      <c r="V54" s="1">
        <f t="shared" si="1"/>
        <v>5</v>
      </c>
      <c r="W54" s="1">
        <f t="shared" si="2"/>
        <v>1</v>
      </c>
      <c r="X54" s="1"/>
      <c r="Y54" s="16"/>
      <c r="Z54" s="1">
        <v>20230506</v>
      </c>
      <c r="AA54" s="2" t="s">
        <v>873</v>
      </c>
      <c r="AF54" s="2">
        <f t="shared" si="3"/>
        <v>5</v>
      </c>
    </row>
    <row r="55" spans="1:32" ht="15" customHeight="1" x14ac:dyDescent="0.15">
      <c r="B55" s="11" t="str">
        <f t="shared" si="4"/>
        <v>40N_DXG</v>
      </c>
      <c r="C55" s="1" t="s">
        <v>1765</v>
      </c>
      <c r="D55" s="1" t="s">
        <v>833</v>
      </c>
      <c r="E55" s="2" t="s">
        <v>874</v>
      </c>
      <c r="F55" s="1" t="s">
        <v>99</v>
      </c>
      <c r="G55" s="1" t="s">
        <v>750</v>
      </c>
      <c r="H55" s="1" t="s">
        <v>280</v>
      </c>
      <c r="I55" s="1" t="s">
        <v>72</v>
      </c>
      <c r="J55" s="1" t="s">
        <v>748</v>
      </c>
      <c r="K55" s="1" t="s">
        <v>1674</v>
      </c>
      <c r="L55" s="1" t="s">
        <v>831</v>
      </c>
      <c r="M55" s="1" t="s">
        <v>296</v>
      </c>
      <c r="O55" s="1">
        <v>40</v>
      </c>
      <c r="P55" s="1">
        <v>850</v>
      </c>
      <c r="Q55" s="1" t="s">
        <v>832</v>
      </c>
      <c r="R55" s="1">
        <v>4</v>
      </c>
      <c r="S55" s="1">
        <v>4</v>
      </c>
      <c r="T55" s="1">
        <v>8</v>
      </c>
      <c r="U55" s="1" t="s">
        <v>40</v>
      </c>
      <c r="V55" s="1">
        <f t="shared" si="1"/>
        <v>5</v>
      </c>
      <c r="W55" s="1">
        <f t="shared" si="2"/>
        <v>2</v>
      </c>
      <c r="X55" s="1"/>
      <c r="Y55" s="16"/>
      <c r="Z55" s="1">
        <v>20230506</v>
      </c>
      <c r="AA55" s="2" t="s">
        <v>873</v>
      </c>
      <c r="AF55" s="2">
        <f t="shared" si="3"/>
        <v>5</v>
      </c>
    </row>
    <row r="56" spans="1:32" ht="15" customHeight="1" x14ac:dyDescent="0.15">
      <c r="B56" s="11" t="str">
        <f t="shared" si="4"/>
        <v>40N_DXH</v>
      </c>
      <c r="C56" s="1" t="s">
        <v>1765</v>
      </c>
      <c r="D56" s="1" t="s">
        <v>834</v>
      </c>
      <c r="E56" s="2" t="s">
        <v>874</v>
      </c>
      <c r="F56" s="1" t="s">
        <v>99</v>
      </c>
      <c r="G56" s="1" t="s">
        <v>750</v>
      </c>
      <c r="H56" s="1" t="s">
        <v>282</v>
      </c>
      <c r="I56" s="1" t="s">
        <v>72</v>
      </c>
      <c r="J56" s="1" t="s">
        <v>748</v>
      </c>
      <c r="K56" s="1" t="s">
        <v>1674</v>
      </c>
      <c r="L56" s="1" t="s">
        <v>831</v>
      </c>
      <c r="M56" s="1" t="s">
        <v>296</v>
      </c>
      <c r="O56" s="1">
        <v>40</v>
      </c>
      <c r="P56" s="1">
        <v>850</v>
      </c>
      <c r="Q56" s="1" t="s">
        <v>832</v>
      </c>
      <c r="R56" s="1">
        <v>4</v>
      </c>
      <c r="S56" s="1">
        <v>4</v>
      </c>
      <c r="T56" s="1">
        <v>8</v>
      </c>
      <c r="U56" s="1" t="s">
        <v>40</v>
      </c>
      <c r="V56" s="1">
        <f t="shared" si="1"/>
        <v>5</v>
      </c>
      <c r="W56" s="1">
        <f t="shared" si="2"/>
        <v>3</v>
      </c>
      <c r="X56" s="1"/>
      <c r="Y56" s="16"/>
      <c r="Z56" s="1">
        <v>20230506</v>
      </c>
      <c r="AA56" s="2" t="s">
        <v>873</v>
      </c>
      <c r="AF56" s="2">
        <f t="shared" si="3"/>
        <v>5</v>
      </c>
    </row>
    <row r="57" spans="1:32" ht="15" customHeight="1" x14ac:dyDescent="0.15">
      <c r="A57" s="2" t="s">
        <v>1591</v>
      </c>
      <c r="B57" s="63" t="str">
        <f t="shared" si="4"/>
        <v>40N_SPG</v>
      </c>
      <c r="C57" s="62" t="s">
        <v>875</v>
      </c>
      <c r="D57" s="62" t="s">
        <v>746</v>
      </c>
      <c r="E57" s="64" t="s">
        <v>876</v>
      </c>
      <c r="F57" s="62" t="s">
        <v>850</v>
      </c>
      <c r="G57" s="62" t="s">
        <v>829</v>
      </c>
      <c r="H57" s="62" t="s">
        <v>280</v>
      </c>
      <c r="I57" s="62" t="s">
        <v>838</v>
      </c>
      <c r="J57" s="62" t="s">
        <v>839</v>
      </c>
      <c r="K57" s="62" t="s">
        <v>869</v>
      </c>
      <c r="L57" s="62" t="s">
        <v>841</v>
      </c>
      <c r="M57" s="62" t="s">
        <v>296</v>
      </c>
      <c r="N57" s="64"/>
      <c r="O57" s="62">
        <v>40</v>
      </c>
      <c r="P57" s="62">
        <v>850</v>
      </c>
      <c r="Q57" s="62" t="s">
        <v>940</v>
      </c>
      <c r="R57" s="62">
        <v>3</v>
      </c>
      <c r="S57" s="62">
        <v>4</v>
      </c>
      <c r="T57" s="62">
        <v>4</v>
      </c>
      <c r="U57" s="62">
        <v>15</v>
      </c>
      <c r="V57" s="62">
        <f t="shared" si="1"/>
        <v>6</v>
      </c>
      <c r="W57" s="62">
        <f t="shared" si="2"/>
        <v>1</v>
      </c>
      <c r="X57" s="62"/>
      <c r="Y57" s="16"/>
      <c r="Z57" s="1"/>
      <c r="AF57" s="2">
        <f t="shared" si="3"/>
        <v>6</v>
      </c>
    </row>
    <row r="58" spans="1:32" ht="15" customHeight="1" x14ac:dyDescent="0.15">
      <c r="A58" s="2" t="s">
        <v>1591</v>
      </c>
      <c r="B58" s="63" t="str">
        <f t="shared" si="4"/>
        <v>40N_SXG</v>
      </c>
      <c r="C58" s="62" t="s">
        <v>875</v>
      </c>
      <c r="D58" s="62" t="s">
        <v>833</v>
      </c>
      <c r="E58" s="64" t="s">
        <v>876</v>
      </c>
      <c r="F58" s="62" t="s">
        <v>850</v>
      </c>
      <c r="G58" s="62" t="s">
        <v>750</v>
      </c>
      <c r="H58" s="62" t="s">
        <v>280</v>
      </c>
      <c r="I58" s="62" t="s">
        <v>838</v>
      </c>
      <c r="J58" s="62" t="s">
        <v>839</v>
      </c>
      <c r="K58" s="62" t="s">
        <v>869</v>
      </c>
      <c r="L58" s="62" t="s">
        <v>841</v>
      </c>
      <c r="M58" s="62" t="s">
        <v>296</v>
      </c>
      <c r="N58" s="64"/>
      <c r="O58" s="62">
        <v>40</v>
      </c>
      <c r="P58" s="62">
        <v>850</v>
      </c>
      <c r="Q58" s="62" t="s">
        <v>940</v>
      </c>
      <c r="R58" s="62">
        <v>4</v>
      </c>
      <c r="S58" s="62">
        <v>4</v>
      </c>
      <c r="T58" s="62">
        <v>4</v>
      </c>
      <c r="U58" s="62">
        <v>15</v>
      </c>
      <c r="V58" s="62">
        <f t="shared" si="1"/>
        <v>6</v>
      </c>
      <c r="W58" s="62">
        <f t="shared" si="2"/>
        <v>2</v>
      </c>
      <c r="X58" s="62"/>
      <c r="Y58" s="16"/>
      <c r="Z58" s="1"/>
      <c r="AF58" s="2">
        <f t="shared" si="3"/>
        <v>6</v>
      </c>
    </row>
    <row r="59" spans="1:32" ht="15" customHeight="1" x14ac:dyDescent="0.15">
      <c r="A59" s="2" t="s">
        <v>1591</v>
      </c>
      <c r="B59" s="63" t="str">
        <f t="shared" si="4"/>
        <v>40N_SXH</v>
      </c>
      <c r="C59" s="62" t="s">
        <v>875</v>
      </c>
      <c r="D59" s="62" t="s">
        <v>834</v>
      </c>
      <c r="E59" s="64" t="s">
        <v>876</v>
      </c>
      <c r="F59" s="62" t="s">
        <v>850</v>
      </c>
      <c r="G59" s="62" t="s">
        <v>750</v>
      </c>
      <c r="H59" s="62" t="s">
        <v>282</v>
      </c>
      <c r="I59" s="62" t="s">
        <v>838</v>
      </c>
      <c r="J59" s="62" t="s">
        <v>839</v>
      </c>
      <c r="K59" s="62" t="s">
        <v>869</v>
      </c>
      <c r="L59" s="62" t="s">
        <v>841</v>
      </c>
      <c r="M59" s="62" t="s">
        <v>296</v>
      </c>
      <c r="N59" s="64"/>
      <c r="O59" s="62">
        <v>40</v>
      </c>
      <c r="P59" s="62">
        <v>850</v>
      </c>
      <c r="Q59" s="62" t="s">
        <v>940</v>
      </c>
      <c r="R59" s="62">
        <v>4</v>
      </c>
      <c r="S59" s="62">
        <v>4</v>
      </c>
      <c r="T59" s="62">
        <v>4</v>
      </c>
      <c r="U59" s="62">
        <v>15</v>
      </c>
      <c r="V59" s="62">
        <f t="shared" si="1"/>
        <v>6</v>
      </c>
      <c r="W59" s="62">
        <f t="shared" si="2"/>
        <v>3</v>
      </c>
      <c r="X59" s="62"/>
      <c r="Y59" s="16"/>
      <c r="Z59" s="1"/>
      <c r="AF59" s="2">
        <f t="shared" si="3"/>
        <v>6</v>
      </c>
    </row>
    <row r="60" spans="1:32" ht="15" customHeight="1" x14ac:dyDescent="0.15">
      <c r="B60" s="11" t="str">
        <f t="shared" si="4"/>
        <v>50N_CPG</v>
      </c>
      <c r="C60" s="1" t="s">
        <v>877</v>
      </c>
      <c r="D60" s="1" t="s">
        <v>746</v>
      </c>
      <c r="E60" s="2" t="s">
        <v>878</v>
      </c>
      <c r="F60" s="1" t="s">
        <v>828</v>
      </c>
      <c r="G60" s="1" t="s">
        <v>829</v>
      </c>
      <c r="H60" s="1" t="s">
        <v>280</v>
      </c>
      <c r="I60" s="1" t="s">
        <v>72</v>
      </c>
      <c r="J60" s="1" t="s">
        <v>748</v>
      </c>
      <c r="K60" s="1" t="s">
        <v>1692</v>
      </c>
      <c r="L60" s="1" t="s">
        <v>831</v>
      </c>
      <c r="M60" s="1" t="s">
        <v>296</v>
      </c>
      <c r="O60" s="1">
        <v>50</v>
      </c>
      <c r="P60" s="1">
        <v>1100</v>
      </c>
      <c r="Q60" s="1" t="s">
        <v>832</v>
      </c>
      <c r="R60" s="1">
        <v>3</v>
      </c>
      <c r="S60" s="1">
        <v>4</v>
      </c>
      <c r="T60" s="1">
        <v>8</v>
      </c>
      <c r="U60" s="1" t="s">
        <v>40</v>
      </c>
      <c r="V60" s="1">
        <f t="shared" si="1"/>
        <v>5</v>
      </c>
      <c r="W60" s="1">
        <f t="shared" si="2"/>
        <v>1</v>
      </c>
      <c r="X60" s="1"/>
      <c r="Y60" s="16"/>
      <c r="Z60" s="1">
        <v>20190618</v>
      </c>
      <c r="AF60" s="2">
        <f t="shared" si="3"/>
        <v>5</v>
      </c>
    </row>
    <row r="61" spans="1:32" ht="15" customHeight="1" x14ac:dyDescent="0.15">
      <c r="B61" s="11" t="str">
        <f t="shared" si="4"/>
        <v>50N_CXG</v>
      </c>
      <c r="C61" s="1" t="s">
        <v>877</v>
      </c>
      <c r="D61" s="1" t="s">
        <v>833</v>
      </c>
      <c r="E61" s="2" t="s">
        <v>878</v>
      </c>
      <c r="F61" s="1" t="s">
        <v>828</v>
      </c>
      <c r="G61" s="1" t="s">
        <v>750</v>
      </c>
      <c r="H61" s="1" t="s">
        <v>280</v>
      </c>
      <c r="I61" s="1" t="s">
        <v>72</v>
      </c>
      <c r="J61" s="1" t="s">
        <v>748</v>
      </c>
      <c r="K61" s="1" t="s">
        <v>1692</v>
      </c>
      <c r="L61" s="1" t="s">
        <v>831</v>
      </c>
      <c r="M61" s="1" t="s">
        <v>296</v>
      </c>
      <c r="O61" s="1">
        <v>50</v>
      </c>
      <c r="P61" s="1">
        <v>1100</v>
      </c>
      <c r="Q61" s="1" t="s">
        <v>832</v>
      </c>
      <c r="R61" s="1">
        <v>4</v>
      </c>
      <c r="S61" s="1">
        <v>4</v>
      </c>
      <c r="T61" s="1">
        <v>8</v>
      </c>
      <c r="U61" s="1" t="s">
        <v>40</v>
      </c>
      <c r="V61" s="1">
        <f t="shared" si="1"/>
        <v>5</v>
      </c>
      <c r="W61" s="1">
        <f t="shared" si="2"/>
        <v>2</v>
      </c>
      <c r="X61" s="1"/>
      <c r="Y61" s="16"/>
      <c r="Z61" s="1">
        <v>20190618</v>
      </c>
      <c r="AF61" s="2">
        <f t="shared" si="3"/>
        <v>5</v>
      </c>
    </row>
    <row r="62" spans="1:32" ht="15" customHeight="1" x14ac:dyDescent="0.15">
      <c r="B62" s="11" t="str">
        <f t="shared" si="4"/>
        <v>50N_CXH</v>
      </c>
      <c r="C62" s="1" t="s">
        <v>877</v>
      </c>
      <c r="D62" s="1" t="s">
        <v>834</v>
      </c>
      <c r="E62" s="2" t="s">
        <v>878</v>
      </c>
      <c r="F62" s="1" t="s">
        <v>828</v>
      </c>
      <c r="G62" s="1" t="s">
        <v>750</v>
      </c>
      <c r="H62" s="1" t="s">
        <v>282</v>
      </c>
      <c r="I62" s="1" t="s">
        <v>72</v>
      </c>
      <c r="J62" s="1" t="s">
        <v>748</v>
      </c>
      <c r="K62" s="1" t="s">
        <v>1692</v>
      </c>
      <c r="L62" s="1" t="s">
        <v>831</v>
      </c>
      <c r="M62" s="1" t="s">
        <v>296</v>
      </c>
      <c r="O62" s="1">
        <v>50</v>
      </c>
      <c r="P62" s="1">
        <v>1100</v>
      </c>
      <c r="Q62" s="1" t="s">
        <v>832</v>
      </c>
      <c r="R62" s="1">
        <v>4</v>
      </c>
      <c r="S62" s="1">
        <v>4</v>
      </c>
      <c r="T62" s="1">
        <v>8</v>
      </c>
      <c r="U62" s="1" t="s">
        <v>40</v>
      </c>
      <c r="V62" s="1">
        <f t="shared" si="1"/>
        <v>5</v>
      </c>
      <c r="W62" s="1">
        <f t="shared" si="2"/>
        <v>3</v>
      </c>
      <c r="X62" s="1"/>
      <c r="Y62" s="16"/>
      <c r="Z62" s="1">
        <v>20190618</v>
      </c>
      <c r="AF62" s="2">
        <f t="shared" si="3"/>
        <v>5</v>
      </c>
    </row>
    <row r="63" spans="1:32" ht="15" customHeight="1" x14ac:dyDescent="0.15">
      <c r="B63" s="11" t="str">
        <f t="shared" si="4"/>
        <v>50N_RPG</v>
      </c>
      <c r="C63" s="1" t="s">
        <v>880</v>
      </c>
      <c r="D63" s="1" t="s">
        <v>746</v>
      </c>
      <c r="E63" s="2" t="s">
        <v>881</v>
      </c>
      <c r="F63" s="1" t="s">
        <v>837</v>
      </c>
      <c r="G63" s="1" t="s">
        <v>829</v>
      </c>
      <c r="H63" s="1" t="s">
        <v>280</v>
      </c>
      <c r="I63" s="1" t="s">
        <v>838</v>
      </c>
      <c r="J63" s="1" t="s">
        <v>839</v>
      </c>
      <c r="K63" s="1" t="s">
        <v>1592</v>
      </c>
      <c r="L63" s="1" t="s">
        <v>841</v>
      </c>
      <c r="M63" s="1" t="s">
        <v>296</v>
      </c>
      <c r="O63" s="1">
        <v>50</v>
      </c>
      <c r="P63" s="1">
        <v>1100</v>
      </c>
      <c r="Q63" s="1" t="s">
        <v>940</v>
      </c>
      <c r="R63" s="1">
        <v>3</v>
      </c>
      <c r="S63" s="1">
        <v>4</v>
      </c>
      <c r="T63" s="1">
        <v>4</v>
      </c>
      <c r="U63" s="1">
        <v>15</v>
      </c>
      <c r="V63" s="1">
        <f t="shared" si="1"/>
        <v>6</v>
      </c>
      <c r="W63" s="1">
        <f t="shared" si="2"/>
        <v>1</v>
      </c>
      <c r="X63" s="1"/>
      <c r="Y63" s="16"/>
      <c r="Z63" s="1"/>
      <c r="AF63" s="2">
        <f t="shared" si="3"/>
        <v>6</v>
      </c>
    </row>
    <row r="64" spans="1:32" ht="15" customHeight="1" x14ac:dyDescent="0.15">
      <c r="B64" s="11" t="str">
        <f t="shared" si="4"/>
        <v>50N_RXG</v>
      </c>
      <c r="C64" s="1" t="s">
        <v>880</v>
      </c>
      <c r="D64" s="1" t="s">
        <v>833</v>
      </c>
      <c r="E64" s="2" t="s">
        <v>881</v>
      </c>
      <c r="F64" s="1" t="s">
        <v>837</v>
      </c>
      <c r="G64" s="1" t="s">
        <v>750</v>
      </c>
      <c r="H64" s="1" t="s">
        <v>280</v>
      </c>
      <c r="I64" s="1" t="s">
        <v>838</v>
      </c>
      <c r="J64" s="1" t="s">
        <v>839</v>
      </c>
      <c r="K64" s="1" t="s">
        <v>1592</v>
      </c>
      <c r="L64" s="1" t="s">
        <v>841</v>
      </c>
      <c r="M64" s="1" t="s">
        <v>296</v>
      </c>
      <c r="O64" s="1">
        <v>50</v>
      </c>
      <c r="P64" s="1">
        <v>1100</v>
      </c>
      <c r="Q64" s="1" t="s">
        <v>940</v>
      </c>
      <c r="R64" s="1">
        <v>4</v>
      </c>
      <c r="S64" s="1">
        <v>4</v>
      </c>
      <c r="T64" s="1">
        <v>4</v>
      </c>
      <c r="U64" s="1">
        <v>15</v>
      </c>
      <c r="V64" s="1">
        <f t="shared" si="1"/>
        <v>6</v>
      </c>
      <c r="W64" s="1">
        <f t="shared" si="2"/>
        <v>2</v>
      </c>
      <c r="X64" s="1"/>
      <c r="Y64" s="16"/>
      <c r="Z64" s="1"/>
      <c r="AF64" s="2">
        <f t="shared" si="3"/>
        <v>6</v>
      </c>
    </row>
    <row r="65" spans="2:32" ht="15" customHeight="1" x14ac:dyDescent="0.15">
      <c r="B65" s="11" t="str">
        <f t="shared" si="4"/>
        <v>50N_RXH</v>
      </c>
      <c r="C65" s="1" t="s">
        <v>880</v>
      </c>
      <c r="D65" s="1" t="s">
        <v>834</v>
      </c>
      <c r="E65" s="2" t="s">
        <v>881</v>
      </c>
      <c r="F65" s="1" t="s">
        <v>837</v>
      </c>
      <c r="G65" s="1" t="s">
        <v>750</v>
      </c>
      <c r="H65" s="1" t="s">
        <v>282</v>
      </c>
      <c r="I65" s="1" t="s">
        <v>838</v>
      </c>
      <c r="J65" s="1" t="s">
        <v>839</v>
      </c>
      <c r="K65" s="1" t="s">
        <v>1592</v>
      </c>
      <c r="L65" s="1" t="s">
        <v>841</v>
      </c>
      <c r="M65" s="1" t="s">
        <v>296</v>
      </c>
      <c r="O65" s="1">
        <v>50</v>
      </c>
      <c r="P65" s="1">
        <v>1100</v>
      </c>
      <c r="Q65" s="1" t="s">
        <v>940</v>
      </c>
      <c r="R65" s="1">
        <v>4</v>
      </c>
      <c r="S65" s="1">
        <v>4</v>
      </c>
      <c r="T65" s="1">
        <v>4</v>
      </c>
      <c r="U65" s="1">
        <v>15</v>
      </c>
      <c r="V65" s="1">
        <f t="shared" si="1"/>
        <v>6</v>
      </c>
      <c r="W65" s="1">
        <f t="shared" si="2"/>
        <v>3</v>
      </c>
      <c r="X65" s="1"/>
      <c r="Y65" s="16"/>
      <c r="Z65" s="1"/>
      <c r="AF65" s="2">
        <f t="shared" si="3"/>
        <v>6</v>
      </c>
    </row>
    <row r="66" spans="2:32" ht="15" customHeight="1" x14ac:dyDescent="0.15">
      <c r="B66" s="11" t="str">
        <f t="shared" si="4"/>
        <v>50N_WPG</v>
      </c>
      <c r="C66" s="1" t="s">
        <v>883</v>
      </c>
      <c r="D66" s="1" t="s">
        <v>746</v>
      </c>
      <c r="E66" s="2" t="s">
        <v>884</v>
      </c>
      <c r="F66" s="1" t="s">
        <v>844</v>
      </c>
      <c r="G66" s="1" t="s">
        <v>829</v>
      </c>
      <c r="H66" s="1" t="s">
        <v>280</v>
      </c>
      <c r="I66" s="1" t="s">
        <v>751</v>
      </c>
      <c r="J66" s="1" t="s">
        <v>748</v>
      </c>
      <c r="K66" s="1" t="s">
        <v>1692</v>
      </c>
      <c r="L66" s="1" t="s">
        <v>831</v>
      </c>
      <c r="M66" s="1" t="s">
        <v>296</v>
      </c>
      <c r="O66" s="1">
        <v>50</v>
      </c>
      <c r="P66" s="1">
        <v>1100</v>
      </c>
      <c r="Q66" s="1" t="s">
        <v>943</v>
      </c>
      <c r="R66" s="1">
        <v>3</v>
      </c>
      <c r="S66" s="1">
        <v>4</v>
      </c>
      <c r="T66" s="1">
        <v>12</v>
      </c>
      <c r="U66" s="1" t="s">
        <v>40</v>
      </c>
      <c r="V66" s="1">
        <f t="shared" si="1"/>
        <v>7</v>
      </c>
      <c r="W66" s="1">
        <f t="shared" si="2"/>
        <v>1</v>
      </c>
      <c r="X66" s="1"/>
      <c r="Y66" s="16"/>
      <c r="Z66" s="1">
        <v>20190618</v>
      </c>
      <c r="AF66" s="2">
        <f t="shared" si="3"/>
        <v>7</v>
      </c>
    </row>
    <row r="67" spans="2:32" ht="15" customHeight="1" x14ac:dyDescent="0.15">
      <c r="B67" s="11" t="str">
        <f t="shared" si="4"/>
        <v>50N_WXG</v>
      </c>
      <c r="C67" s="1" t="s">
        <v>883</v>
      </c>
      <c r="D67" s="1" t="s">
        <v>833</v>
      </c>
      <c r="E67" s="2" t="s">
        <v>884</v>
      </c>
      <c r="F67" s="1" t="s">
        <v>844</v>
      </c>
      <c r="G67" s="1" t="s">
        <v>750</v>
      </c>
      <c r="H67" s="1" t="s">
        <v>280</v>
      </c>
      <c r="I67" s="1" t="s">
        <v>751</v>
      </c>
      <c r="J67" s="1" t="s">
        <v>748</v>
      </c>
      <c r="K67" s="1" t="s">
        <v>1692</v>
      </c>
      <c r="L67" s="1" t="s">
        <v>831</v>
      </c>
      <c r="M67" s="1" t="s">
        <v>296</v>
      </c>
      <c r="O67" s="1">
        <v>50</v>
      </c>
      <c r="P67" s="1">
        <v>1100</v>
      </c>
      <c r="Q67" s="1" t="s">
        <v>943</v>
      </c>
      <c r="R67" s="1">
        <v>4</v>
      </c>
      <c r="S67" s="1">
        <v>4</v>
      </c>
      <c r="T67" s="1">
        <v>12</v>
      </c>
      <c r="U67" s="1" t="s">
        <v>40</v>
      </c>
      <c r="V67" s="1">
        <f t="shared" si="1"/>
        <v>7</v>
      </c>
      <c r="W67" s="1">
        <f t="shared" si="2"/>
        <v>2</v>
      </c>
      <c r="X67" s="1"/>
      <c r="Y67" s="16"/>
      <c r="Z67" s="1">
        <v>20190618</v>
      </c>
      <c r="AF67" s="2">
        <f t="shared" si="3"/>
        <v>7</v>
      </c>
    </row>
    <row r="68" spans="2:32" ht="15" customHeight="1" x14ac:dyDescent="0.15">
      <c r="B68" s="11" t="str">
        <f t="shared" si="4"/>
        <v>50N_WXH</v>
      </c>
      <c r="C68" s="1" t="s">
        <v>883</v>
      </c>
      <c r="D68" s="1" t="s">
        <v>834</v>
      </c>
      <c r="E68" s="2" t="s">
        <v>884</v>
      </c>
      <c r="F68" s="1" t="s">
        <v>844</v>
      </c>
      <c r="G68" s="1" t="s">
        <v>750</v>
      </c>
      <c r="H68" s="1" t="s">
        <v>282</v>
      </c>
      <c r="I68" s="1" t="s">
        <v>751</v>
      </c>
      <c r="J68" s="1" t="s">
        <v>748</v>
      </c>
      <c r="K68" s="1" t="s">
        <v>1692</v>
      </c>
      <c r="L68" s="1" t="s">
        <v>831</v>
      </c>
      <c r="M68" s="1" t="s">
        <v>296</v>
      </c>
      <c r="O68" s="1">
        <v>50</v>
      </c>
      <c r="P68" s="1">
        <v>1100</v>
      </c>
      <c r="Q68" s="1" t="s">
        <v>943</v>
      </c>
      <c r="R68" s="1">
        <v>4</v>
      </c>
      <c r="S68" s="1">
        <v>4</v>
      </c>
      <c r="T68" s="1">
        <v>12</v>
      </c>
      <c r="U68" s="1" t="s">
        <v>40</v>
      </c>
      <c r="V68" s="1">
        <f t="shared" si="1"/>
        <v>7</v>
      </c>
      <c r="W68" s="1">
        <f t="shared" si="2"/>
        <v>3</v>
      </c>
      <c r="X68" s="1"/>
      <c r="Y68" s="16"/>
      <c r="Z68" s="1">
        <v>20190618</v>
      </c>
      <c r="AF68" s="2">
        <f t="shared" si="3"/>
        <v>7</v>
      </c>
    </row>
    <row r="69" spans="2:32" ht="15" customHeight="1" x14ac:dyDescent="0.15">
      <c r="B69" s="11" t="str">
        <f t="shared" si="4"/>
        <v>50L_CPG</v>
      </c>
      <c r="C69" s="1" t="s">
        <v>885</v>
      </c>
      <c r="D69" s="1" t="s">
        <v>746</v>
      </c>
      <c r="E69" s="2" t="s">
        <v>886</v>
      </c>
      <c r="F69" s="1" t="s">
        <v>828</v>
      </c>
      <c r="G69" s="1" t="s">
        <v>829</v>
      </c>
      <c r="H69" s="1" t="s">
        <v>280</v>
      </c>
      <c r="I69" s="1" t="s">
        <v>72</v>
      </c>
      <c r="J69" s="1" t="s">
        <v>748</v>
      </c>
      <c r="K69" s="1" t="s">
        <v>1694</v>
      </c>
      <c r="L69" s="1" t="s">
        <v>831</v>
      </c>
      <c r="M69" s="1" t="s">
        <v>296</v>
      </c>
      <c r="O69" s="1">
        <v>50</v>
      </c>
      <c r="P69" s="1">
        <v>1250</v>
      </c>
      <c r="Q69" s="1" t="s">
        <v>99</v>
      </c>
      <c r="R69" s="1">
        <v>3</v>
      </c>
      <c r="S69" s="1">
        <v>5</v>
      </c>
      <c r="T69" s="1">
        <v>8</v>
      </c>
      <c r="U69" s="1" t="s">
        <v>40</v>
      </c>
      <c r="V69" s="1">
        <f t="shared" si="1"/>
        <v>5</v>
      </c>
      <c r="W69" s="1">
        <f t="shared" si="2"/>
        <v>1</v>
      </c>
      <c r="X69" s="1"/>
      <c r="Y69" s="16"/>
      <c r="Z69" s="1">
        <v>20190618</v>
      </c>
      <c r="AF69" s="2">
        <f t="shared" si="3"/>
        <v>5</v>
      </c>
    </row>
    <row r="70" spans="2:32" ht="15" customHeight="1" x14ac:dyDescent="0.15">
      <c r="B70" s="11" t="str">
        <f t="shared" si="4"/>
        <v>50L_CXG</v>
      </c>
      <c r="C70" s="1" t="s">
        <v>885</v>
      </c>
      <c r="D70" s="1" t="s">
        <v>833</v>
      </c>
      <c r="E70" s="2" t="s">
        <v>886</v>
      </c>
      <c r="F70" s="1" t="s">
        <v>828</v>
      </c>
      <c r="G70" s="1" t="s">
        <v>750</v>
      </c>
      <c r="H70" s="1" t="s">
        <v>280</v>
      </c>
      <c r="I70" s="1" t="s">
        <v>72</v>
      </c>
      <c r="J70" s="1" t="s">
        <v>748</v>
      </c>
      <c r="K70" s="1" t="s">
        <v>1694</v>
      </c>
      <c r="L70" s="1" t="s">
        <v>831</v>
      </c>
      <c r="M70" s="1" t="s">
        <v>296</v>
      </c>
      <c r="O70" s="1">
        <v>50</v>
      </c>
      <c r="P70" s="1">
        <v>1250</v>
      </c>
      <c r="Q70" s="1" t="s">
        <v>99</v>
      </c>
      <c r="R70" s="1">
        <v>4</v>
      </c>
      <c r="S70" s="1">
        <v>5</v>
      </c>
      <c r="T70" s="1">
        <v>8</v>
      </c>
      <c r="U70" s="1" t="s">
        <v>40</v>
      </c>
      <c r="V70" s="1">
        <f t="shared" si="1"/>
        <v>5</v>
      </c>
      <c r="W70" s="1">
        <f t="shared" si="2"/>
        <v>2</v>
      </c>
      <c r="X70" s="1"/>
      <c r="Y70" s="16"/>
      <c r="Z70" s="1">
        <v>20190618</v>
      </c>
      <c r="AF70" s="2">
        <f t="shared" si="3"/>
        <v>5</v>
      </c>
    </row>
    <row r="71" spans="2:32" ht="15" customHeight="1" x14ac:dyDescent="0.15">
      <c r="B71" s="11" t="str">
        <f t="shared" si="4"/>
        <v>50L_CXH</v>
      </c>
      <c r="C71" s="1" t="s">
        <v>885</v>
      </c>
      <c r="D71" s="1" t="s">
        <v>834</v>
      </c>
      <c r="E71" s="2" t="s">
        <v>886</v>
      </c>
      <c r="F71" s="1" t="s">
        <v>828</v>
      </c>
      <c r="G71" s="1" t="s">
        <v>750</v>
      </c>
      <c r="H71" s="1" t="s">
        <v>282</v>
      </c>
      <c r="I71" s="1" t="s">
        <v>72</v>
      </c>
      <c r="J71" s="1" t="s">
        <v>748</v>
      </c>
      <c r="K71" s="1" t="s">
        <v>1694</v>
      </c>
      <c r="L71" s="1" t="s">
        <v>831</v>
      </c>
      <c r="M71" s="1" t="s">
        <v>296</v>
      </c>
      <c r="O71" s="1">
        <v>50</v>
      </c>
      <c r="P71" s="1">
        <v>1250</v>
      </c>
      <c r="Q71" s="1" t="s">
        <v>99</v>
      </c>
      <c r="R71" s="1">
        <v>4</v>
      </c>
      <c r="S71" s="1">
        <v>5</v>
      </c>
      <c r="T71" s="1">
        <v>8</v>
      </c>
      <c r="U71" s="1" t="s">
        <v>40</v>
      </c>
      <c r="V71" s="1">
        <f t="shared" si="1"/>
        <v>5</v>
      </c>
      <c r="W71" s="1">
        <f t="shared" si="2"/>
        <v>3</v>
      </c>
      <c r="X71" s="1"/>
      <c r="Y71" s="16"/>
      <c r="Z71" s="1">
        <v>20190618</v>
      </c>
      <c r="AF71" s="2">
        <f t="shared" si="3"/>
        <v>5</v>
      </c>
    </row>
    <row r="72" spans="2:32" ht="15" customHeight="1" x14ac:dyDescent="0.15">
      <c r="B72" s="11" t="str">
        <f t="shared" si="4"/>
        <v>50L_RPG</v>
      </c>
      <c r="C72" s="1" t="s">
        <v>887</v>
      </c>
      <c r="D72" s="1" t="s">
        <v>746</v>
      </c>
      <c r="E72" s="2" t="s">
        <v>888</v>
      </c>
      <c r="F72" s="1" t="s">
        <v>837</v>
      </c>
      <c r="G72" s="1" t="s">
        <v>829</v>
      </c>
      <c r="H72" s="1" t="s">
        <v>280</v>
      </c>
      <c r="I72" s="1" t="s">
        <v>838</v>
      </c>
      <c r="J72" s="1" t="s">
        <v>839</v>
      </c>
      <c r="K72" s="1" t="s">
        <v>882</v>
      </c>
      <c r="L72" s="1" t="s">
        <v>841</v>
      </c>
      <c r="M72" s="1" t="s">
        <v>296</v>
      </c>
      <c r="O72" s="1">
        <v>50</v>
      </c>
      <c r="P72" s="1">
        <v>1250</v>
      </c>
      <c r="Q72" s="1" t="s">
        <v>941</v>
      </c>
      <c r="R72" s="1">
        <v>3</v>
      </c>
      <c r="S72" s="1">
        <v>5</v>
      </c>
      <c r="T72" s="1">
        <v>5</v>
      </c>
      <c r="U72" s="1">
        <v>15</v>
      </c>
      <c r="V72" s="1">
        <f t="shared" si="1"/>
        <v>6</v>
      </c>
      <c r="W72" s="1">
        <f t="shared" si="2"/>
        <v>1</v>
      </c>
      <c r="X72" s="1"/>
      <c r="Y72" s="16"/>
      <c r="Z72" s="1"/>
      <c r="AF72" s="2">
        <f t="shared" si="3"/>
        <v>6</v>
      </c>
    </row>
    <row r="73" spans="2:32" ht="15" customHeight="1" x14ac:dyDescent="0.15">
      <c r="B73" s="11" t="str">
        <f t="shared" si="4"/>
        <v>50L_RXG</v>
      </c>
      <c r="C73" s="1" t="s">
        <v>887</v>
      </c>
      <c r="D73" s="1" t="s">
        <v>833</v>
      </c>
      <c r="E73" s="2" t="s">
        <v>888</v>
      </c>
      <c r="F73" s="1" t="s">
        <v>837</v>
      </c>
      <c r="G73" s="1" t="s">
        <v>750</v>
      </c>
      <c r="H73" s="1" t="s">
        <v>280</v>
      </c>
      <c r="I73" s="1" t="s">
        <v>838</v>
      </c>
      <c r="J73" s="1" t="s">
        <v>839</v>
      </c>
      <c r="K73" s="1" t="s">
        <v>882</v>
      </c>
      <c r="L73" s="1" t="s">
        <v>841</v>
      </c>
      <c r="M73" s="1" t="s">
        <v>296</v>
      </c>
      <c r="O73" s="1">
        <v>50</v>
      </c>
      <c r="P73" s="1">
        <v>1250</v>
      </c>
      <c r="Q73" s="1" t="s">
        <v>941</v>
      </c>
      <c r="R73" s="1">
        <v>4</v>
      </c>
      <c r="S73" s="1">
        <v>5</v>
      </c>
      <c r="T73" s="1">
        <v>5</v>
      </c>
      <c r="U73" s="1">
        <v>15</v>
      </c>
      <c r="V73" s="1">
        <f t="shared" si="1"/>
        <v>6</v>
      </c>
      <c r="W73" s="1">
        <f t="shared" si="2"/>
        <v>2</v>
      </c>
      <c r="X73" s="1"/>
      <c r="Y73" s="16"/>
      <c r="Z73" s="1"/>
      <c r="AF73" s="2">
        <f t="shared" si="3"/>
        <v>6</v>
      </c>
    </row>
    <row r="74" spans="2:32" ht="15" customHeight="1" x14ac:dyDescent="0.15">
      <c r="B74" s="11" t="str">
        <f t="shared" si="4"/>
        <v>50L_RXH</v>
      </c>
      <c r="C74" s="1" t="s">
        <v>887</v>
      </c>
      <c r="D74" s="1" t="s">
        <v>834</v>
      </c>
      <c r="E74" s="2" t="s">
        <v>888</v>
      </c>
      <c r="F74" s="1" t="s">
        <v>837</v>
      </c>
      <c r="G74" s="1" t="s">
        <v>750</v>
      </c>
      <c r="H74" s="1" t="s">
        <v>282</v>
      </c>
      <c r="I74" s="1" t="s">
        <v>838</v>
      </c>
      <c r="J74" s="1" t="s">
        <v>839</v>
      </c>
      <c r="K74" s="1" t="s">
        <v>882</v>
      </c>
      <c r="L74" s="1" t="s">
        <v>841</v>
      </c>
      <c r="M74" s="1" t="s">
        <v>296</v>
      </c>
      <c r="O74" s="1">
        <v>50</v>
      </c>
      <c r="P74" s="1">
        <v>1250</v>
      </c>
      <c r="Q74" s="1" t="s">
        <v>941</v>
      </c>
      <c r="R74" s="1">
        <v>4</v>
      </c>
      <c r="S74" s="1">
        <v>5</v>
      </c>
      <c r="T74" s="1">
        <v>5</v>
      </c>
      <c r="U74" s="1">
        <v>15</v>
      </c>
      <c r="V74" s="1">
        <f t="shared" si="1"/>
        <v>6</v>
      </c>
      <c r="W74" s="1">
        <f t="shared" si="2"/>
        <v>3</v>
      </c>
      <c r="X74" s="1"/>
      <c r="Y74" s="16"/>
      <c r="Z74" s="1"/>
      <c r="AF74" s="2">
        <f t="shared" si="3"/>
        <v>6</v>
      </c>
    </row>
    <row r="75" spans="2:32" ht="15" customHeight="1" x14ac:dyDescent="0.15">
      <c r="B75" s="11" t="str">
        <f t="shared" si="4"/>
        <v>50L_WPG</v>
      </c>
      <c r="C75" s="1" t="s">
        <v>889</v>
      </c>
      <c r="D75" s="1" t="s">
        <v>746</v>
      </c>
      <c r="E75" s="2" t="s">
        <v>890</v>
      </c>
      <c r="F75" s="1" t="s">
        <v>844</v>
      </c>
      <c r="G75" s="1" t="s">
        <v>829</v>
      </c>
      <c r="H75" s="1" t="s">
        <v>280</v>
      </c>
      <c r="I75" s="1" t="s">
        <v>751</v>
      </c>
      <c r="J75" s="1" t="s">
        <v>748</v>
      </c>
      <c r="K75" s="1" t="s">
        <v>1694</v>
      </c>
      <c r="L75" s="1" t="s">
        <v>831</v>
      </c>
      <c r="M75" s="1" t="s">
        <v>296</v>
      </c>
      <c r="O75" s="1">
        <v>50</v>
      </c>
      <c r="P75" s="1">
        <v>1250</v>
      </c>
      <c r="Q75" s="1" t="s">
        <v>942</v>
      </c>
      <c r="R75" s="1">
        <v>3</v>
      </c>
      <c r="S75" s="1">
        <v>5</v>
      </c>
      <c r="T75" s="1">
        <v>12</v>
      </c>
      <c r="U75" s="1" t="s">
        <v>40</v>
      </c>
      <c r="V75" s="1">
        <f t="shared" si="1"/>
        <v>7</v>
      </c>
      <c r="W75" s="1">
        <f t="shared" si="2"/>
        <v>1</v>
      </c>
      <c r="X75" s="1"/>
      <c r="Y75" s="16"/>
      <c r="Z75" s="1">
        <v>20190618</v>
      </c>
      <c r="AF75" s="2">
        <f t="shared" si="3"/>
        <v>7</v>
      </c>
    </row>
    <row r="76" spans="2:32" ht="15" customHeight="1" x14ac:dyDescent="0.15">
      <c r="B76" s="11" t="str">
        <f t="shared" si="4"/>
        <v>50L_WXG</v>
      </c>
      <c r="C76" s="1" t="s">
        <v>889</v>
      </c>
      <c r="D76" s="1" t="s">
        <v>833</v>
      </c>
      <c r="E76" s="2" t="s">
        <v>890</v>
      </c>
      <c r="F76" s="1" t="s">
        <v>844</v>
      </c>
      <c r="G76" s="1" t="s">
        <v>750</v>
      </c>
      <c r="H76" s="1" t="s">
        <v>280</v>
      </c>
      <c r="I76" s="1" t="s">
        <v>751</v>
      </c>
      <c r="J76" s="1" t="s">
        <v>748</v>
      </c>
      <c r="K76" s="1" t="s">
        <v>1694</v>
      </c>
      <c r="L76" s="1" t="s">
        <v>831</v>
      </c>
      <c r="M76" s="1" t="s">
        <v>296</v>
      </c>
      <c r="O76" s="1">
        <v>50</v>
      </c>
      <c r="P76" s="1">
        <v>1250</v>
      </c>
      <c r="Q76" s="1" t="s">
        <v>942</v>
      </c>
      <c r="R76" s="1">
        <v>4</v>
      </c>
      <c r="S76" s="1">
        <v>5</v>
      </c>
      <c r="T76" s="1">
        <v>12</v>
      </c>
      <c r="U76" s="1" t="s">
        <v>40</v>
      </c>
      <c r="V76" s="1">
        <f t="shared" si="1"/>
        <v>7</v>
      </c>
      <c r="W76" s="1">
        <f t="shared" si="2"/>
        <v>2</v>
      </c>
      <c r="X76" s="1"/>
      <c r="Y76" s="16"/>
      <c r="Z76" s="1">
        <v>20190618</v>
      </c>
      <c r="AF76" s="2">
        <f t="shared" si="3"/>
        <v>7</v>
      </c>
    </row>
    <row r="77" spans="2:32" ht="15" customHeight="1" x14ac:dyDescent="0.15">
      <c r="B77" s="11" t="str">
        <f t="shared" si="4"/>
        <v>50L_WXH</v>
      </c>
      <c r="C77" s="1" t="s">
        <v>889</v>
      </c>
      <c r="D77" s="1" t="s">
        <v>834</v>
      </c>
      <c r="E77" s="2" t="s">
        <v>890</v>
      </c>
      <c r="F77" s="1" t="s">
        <v>844</v>
      </c>
      <c r="G77" s="1" t="s">
        <v>750</v>
      </c>
      <c r="H77" s="1" t="s">
        <v>282</v>
      </c>
      <c r="I77" s="1" t="s">
        <v>751</v>
      </c>
      <c r="J77" s="1" t="s">
        <v>748</v>
      </c>
      <c r="K77" s="1" t="s">
        <v>1694</v>
      </c>
      <c r="L77" s="1" t="s">
        <v>831</v>
      </c>
      <c r="M77" s="1" t="s">
        <v>296</v>
      </c>
      <c r="O77" s="1">
        <v>50</v>
      </c>
      <c r="P77" s="1">
        <v>1250</v>
      </c>
      <c r="Q77" s="1" t="s">
        <v>942</v>
      </c>
      <c r="R77" s="1">
        <v>4</v>
      </c>
      <c r="S77" s="1">
        <v>5</v>
      </c>
      <c r="T77" s="1">
        <v>12</v>
      </c>
      <c r="U77" s="1" t="s">
        <v>40</v>
      </c>
      <c r="V77" s="1">
        <f t="shared" si="1"/>
        <v>7</v>
      </c>
      <c r="W77" s="1">
        <f t="shared" si="2"/>
        <v>3</v>
      </c>
      <c r="X77" s="1"/>
      <c r="Y77" s="16"/>
      <c r="Z77" s="1">
        <v>20190618</v>
      </c>
      <c r="AF77" s="2">
        <f t="shared" si="3"/>
        <v>7</v>
      </c>
    </row>
    <row r="78" spans="2:32" ht="15" customHeight="1" x14ac:dyDescent="0.15">
      <c r="B78" s="11" t="str">
        <f t="shared" si="4"/>
        <v>50L_DPG</v>
      </c>
      <c r="C78" s="1" t="s">
        <v>891</v>
      </c>
      <c r="D78" s="1" t="s">
        <v>746</v>
      </c>
      <c r="E78" s="2" t="s">
        <v>892</v>
      </c>
      <c r="F78" s="1" t="s">
        <v>99</v>
      </c>
      <c r="G78" s="1" t="s">
        <v>829</v>
      </c>
      <c r="H78" s="1" t="s">
        <v>280</v>
      </c>
      <c r="I78" s="1" t="s">
        <v>72</v>
      </c>
      <c r="J78" s="1" t="s">
        <v>748</v>
      </c>
      <c r="K78" s="1" t="s">
        <v>893</v>
      </c>
      <c r="L78" s="1" t="s">
        <v>831</v>
      </c>
      <c r="M78" s="1" t="s">
        <v>296</v>
      </c>
      <c r="O78" s="1">
        <v>50</v>
      </c>
      <c r="P78" s="1">
        <v>1250</v>
      </c>
      <c r="Q78" s="1" t="s">
        <v>99</v>
      </c>
      <c r="R78" s="1">
        <v>3</v>
      </c>
      <c r="S78" s="1">
        <v>5</v>
      </c>
      <c r="T78" s="1">
        <v>8</v>
      </c>
      <c r="U78" s="1" t="s">
        <v>40</v>
      </c>
      <c r="V78" s="1">
        <f t="shared" si="1"/>
        <v>5</v>
      </c>
      <c r="W78" s="1">
        <f t="shared" si="2"/>
        <v>1</v>
      </c>
      <c r="X78" s="1"/>
      <c r="Y78" s="16"/>
      <c r="Z78" s="1"/>
      <c r="AF78" s="2">
        <f t="shared" si="3"/>
        <v>5</v>
      </c>
    </row>
    <row r="79" spans="2:32" ht="15" customHeight="1" x14ac:dyDescent="0.15">
      <c r="B79" s="11" t="str">
        <f t="shared" ref="B79:B110" si="5">CONCATENATE($O79,VLOOKUP(P79,cat,2,FALSE),"_",VLOOKUP(F79,mat,2,FALSE),VLOOKUP(G79,cop,2,FALSE),VLOOKUP(H79,chg,2,FALSE))</f>
        <v>50L_DXG</v>
      </c>
      <c r="C79" s="1" t="s">
        <v>891</v>
      </c>
      <c r="D79" s="1" t="s">
        <v>833</v>
      </c>
      <c r="E79" s="2" t="s">
        <v>892</v>
      </c>
      <c r="F79" s="1" t="s">
        <v>99</v>
      </c>
      <c r="G79" s="1" t="s">
        <v>750</v>
      </c>
      <c r="H79" s="1" t="s">
        <v>280</v>
      </c>
      <c r="I79" s="1" t="s">
        <v>72</v>
      </c>
      <c r="J79" s="1" t="s">
        <v>748</v>
      </c>
      <c r="K79" s="1" t="s">
        <v>893</v>
      </c>
      <c r="L79" s="1" t="s">
        <v>831</v>
      </c>
      <c r="M79" s="1" t="s">
        <v>296</v>
      </c>
      <c r="O79" s="1">
        <v>50</v>
      </c>
      <c r="P79" s="1">
        <v>1250</v>
      </c>
      <c r="Q79" s="1" t="s">
        <v>99</v>
      </c>
      <c r="R79" s="1">
        <v>4</v>
      </c>
      <c r="S79" s="1">
        <v>5</v>
      </c>
      <c r="T79" s="1">
        <v>8</v>
      </c>
      <c r="U79" s="1" t="s">
        <v>40</v>
      </c>
      <c r="V79" s="1">
        <f t="shared" si="1"/>
        <v>5</v>
      </c>
      <c r="W79" s="1">
        <f t="shared" si="2"/>
        <v>2</v>
      </c>
      <c r="X79" s="1"/>
      <c r="Y79" s="16"/>
      <c r="Z79" s="1"/>
      <c r="AF79" s="2">
        <f t="shared" si="3"/>
        <v>5</v>
      </c>
    </row>
    <row r="80" spans="2:32" ht="15" customHeight="1" x14ac:dyDescent="0.15">
      <c r="B80" s="11" t="str">
        <f t="shared" si="5"/>
        <v>50L_DXH</v>
      </c>
      <c r="C80" s="1" t="s">
        <v>891</v>
      </c>
      <c r="D80" s="1" t="s">
        <v>834</v>
      </c>
      <c r="E80" s="2" t="s">
        <v>892</v>
      </c>
      <c r="F80" s="1" t="s">
        <v>99</v>
      </c>
      <c r="G80" s="1" t="s">
        <v>750</v>
      </c>
      <c r="H80" s="1" t="s">
        <v>282</v>
      </c>
      <c r="I80" s="1" t="s">
        <v>72</v>
      </c>
      <c r="J80" s="1" t="s">
        <v>748</v>
      </c>
      <c r="K80" s="1" t="s">
        <v>893</v>
      </c>
      <c r="L80" s="1" t="s">
        <v>831</v>
      </c>
      <c r="M80" s="1" t="s">
        <v>296</v>
      </c>
      <c r="O80" s="1">
        <v>50</v>
      </c>
      <c r="P80" s="1">
        <v>1250</v>
      </c>
      <c r="Q80" s="1" t="s">
        <v>99</v>
      </c>
      <c r="R80" s="1">
        <v>4</v>
      </c>
      <c r="S80" s="1">
        <v>5</v>
      </c>
      <c r="T80" s="1">
        <v>8</v>
      </c>
      <c r="U80" s="1" t="s">
        <v>40</v>
      </c>
      <c r="V80" s="1">
        <f t="shared" ref="V80:V134" si="6">IF(I80="NO",5,IF(I80="HD1000",6,IF(I80="Hardox 450",7,"X")))</f>
        <v>5</v>
      </c>
      <c r="W80" s="1">
        <f t="shared" ref="W80:W122" si="7">IF(AND(G80="S355",H80="60x12"),1,IF(AND(G80="AISI 304",H80="60x12"),2,IF(AND(G80="AISI 304",H80="60x20"),3,"-")))</f>
        <v>3</v>
      </c>
      <c r="X80" s="1"/>
      <c r="Y80" s="16"/>
      <c r="Z80" s="1"/>
      <c r="AF80" s="2">
        <f t="shared" ref="AF80:AF134" si="8">IF(I80="NO",5,IF(I80="HD1000",6,IF(I80="Hardox 450",7,"X")))</f>
        <v>5</v>
      </c>
    </row>
    <row r="81" spans="1:32" ht="15" customHeight="1" x14ac:dyDescent="0.15">
      <c r="A81" s="2" t="s">
        <v>1591</v>
      </c>
      <c r="B81" s="63" t="str">
        <f t="shared" si="5"/>
        <v>50L_SPG</v>
      </c>
      <c r="C81" s="62" t="s">
        <v>887</v>
      </c>
      <c r="D81" s="62" t="s">
        <v>746</v>
      </c>
      <c r="E81" s="64" t="s">
        <v>888</v>
      </c>
      <c r="F81" s="62" t="s">
        <v>850</v>
      </c>
      <c r="G81" s="62" t="s">
        <v>829</v>
      </c>
      <c r="H81" s="62" t="s">
        <v>280</v>
      </c>
      <c r="I81" s="62" t="s">
        <v>838</v>
      </c>
      <c r="J81" s="62" t="s">
        <v>839</v>
      </c>
      <c r="K81" s="62" t="s">
        <v>40</v>
      </c>
      <c r="L81" s="62" t="s">
        <v>841</v>
      </c>
      <c r="M81" s="62" t="s">
        <v>296</v>
      </c>
      <c r="N81" s="64"/>
      <c r="O81" s="62">
        <v>50</v>
      </c>
      <c r="P81" s="62">
        <v>1250</v>
      </c>
      <c r="Q81" s="62" t="s">
        <v>941</v>
      </c>
      <c r="R81" s="62">
        <v>3</v>
      </c>
      <c r="S81" s="62">
        <v>5</v>
      </c>
      <c r="T81" s="62">
        <v>5</v>
      </c>
      <c r="U81" s="62">
        <v>15</v>
      </c>
      <c r="V81" s="62">
        <f t="shared" si="6"/>
        <v>6</v>
      </c>
      <c r="W81" s="62">
        <f t="shared" si="7"/>
        <v>1</v>
      </c>
      <c r="X81" s="62"/>
      <c r="Y81" s="16"/>
      <c r="Z81" s="1"/>
      <c r="AF81" s="2">
        <f t="shared" si="8"/>
        <v>6</v>
      </c>
    </row>
    <row r="82" spans="1:32" ht="15" customHeight="1" x14ac:dyDescent="0.15">
      <c r="A82" s="2" t="s">
        <v>1591</v>
      </c>
      <c r="B82" s="63" t="str">
        <f t="shared" si="5"/>
        <v>50L_SXG</v>
      </c>
      <c r="C82" s="62" t="s">
        <v>887</v>
      </c>
      <c r="D82" s="62" t="s">
        <v>833</v>
      </c>
      <c r="E82" s="64" t="s">
        <v>888</v>
      </c>
      <c r="F82" s="62" t="s">
        <v>850</v>
      </c>
      <c r="G82" s="62" t="s">
        <v>750</v>
      </c>
      <c r="H82" s="62" t="s">
        <v>280</v>
      </c>
      <c r="I82" s="62" t="s">
        <v>838</v>
      </c>
      <c r="J82" s="62" t="s">
        <v>839</v>
      </c>
      <c r="K82" s="62" t="s">
        <v>40</v>
      </c>
      <c r="L82" s="62" t="s">
        <v>841</v>
      </c>
      <c r="M82" s="62" t="s">
        <v>296</v>
      </c>
      <c r="N82" s="64"/>
      <c r="O82" s="62">
        <v>50</v>
      </c>
      <c r="P82" s="62">
        <v>1250</v>
      </c>
      <c r="Q82" s="62" t="s">
        <v>941</v>
      </c>
      <c r="R82" s="62">
        <v>4</v>
      </c>
      <c r="S82" s="62">
        <v>5</v>
      </c>
      <c r="T82" s="62">
        <v>5</v>
      </c>
      <c r="U82" s="62">
        <v>15</v>
      </c>
      <c r="V82" s="62">
        <f t="shared" si="6"/>
        <v>6</v>
      </c>
      <c r="W82" s="62">
        <f t="shared" si="7"/>
        <v>2</v>
      </c>
      <c r="X82" s="62"/>
      <c r="Y82" s="16"/>
      <c r="Z82" s="1"/>
      <c r="AF82" s="2">
        <f t="shared" si="8"/>
        <v>6</v>
      </c>
    </row>
    <row r="83" spans="1:32" ht="15" customHeight="1" x14ac:dyDescent="0.15">
      <c r="A83" s="2" t="s">
        <v>1591</v>
      </c>
      <c r="B83" s="63" t="str">
        <f t="shared" si="5"/>
        <v>50L_SXH</v>
      </c>
      <c r="C83" s="62" t="s">
        <v>887</v>
      </c>
      <c r="D83" s="62" t="s">
        <v>834</v>
      </c>
      <c r="E83" s="64" t="s">
        <v>888</v>
      </c>
      <c r="F83" s="62" t="s">
        <v>850</v>
      </c>
      <c r="G83" s="62" t="s">
        <v>750</v>
      </c>
      <c r="H83" s="62" t="s">
        <v>282</v>
      </c>
      <c r="I83" s="62" t="s">
        <v>838</v>
      </c>
      <c r="J83" s="62" t="s">
        <v>839</v>
      </c>
      <c r="K83" s="62" t="s">
        <v>40</v>
      </c>
      <c r="L83" s="62" t="s">
        <v>841</v>
      </c>
      <c r="M83" s="62" t="s">
        <v>296</v>
      </c>
      <c r="N83" s="64"/>
      <c r="O83" s="62">
        <v>50</v>
      </c>
      <c r="P83" s="62">
        <v>1250</v>
      </c>
      <c r="Q83" s="62" t="s">
        <v>941</v>
      </c>
      <c r="R83" s="62">
        <v>4</v>
      </c>
      <c r="S83" s="62">
        <v>5</v>
      </c>
      <c r="T83" s="62">
        <v>5</v>
      </c>
      <c r="U83" s="62">
        <v>15</v>
      </c>
      <c r="V83" s="62">
        <f t="shared" si="6"/>
        <v>6</v>
      </c>
      <c r="W83" s="62">
        <f t="shared" si="7"/>
        <v>3</v>
      </c>
      <c r="X83" s="62"/>
      <c r="Y83" s="16"/>
      <c r="Z83" s="1"/>
      <c r="AF83" s="2">
        <f t="shared" si="8"/>
        <v>6</v>
      </c>
    </row>
    <row r="84" spans="1:32" ht="15" customHeight="1" x14ac:dyDescent="0.15">
      <c r="B84" s="11" t="str">
        <f t="shared" si="5"/>
        <v>60N_CPG</v>
      </c>
      <c r="C84" s="1" t="s">
        <v>894</v>
      </c>
      <c r="D84" s="1" t="s">
        <v>746</v>
      </c>
      <c r="E84" s="2" t="s">
        <v>895</v>
      </c>
      <c r="F84" s="1" t="s">
        <v>828</v>
      </c>
      <c r="G84" s="1" t="s">
        <v>829</v>
      </c>
      <c r="H84" s="1" t="s">
        <v>280</v>
      </c>
      <c r="I84" s="1" t="s">
        <v>72</v>
      </c>
      <c r="J84" s="1" t="s">
        <v>748</v>
      </c>
      <c r="K84" s="1" t="s">
        <v>1695</v>
      </c>
      <c r="L84" s="1" t="s">
        <v>831</v>
      </c>
      <c r="M84" s="1" t="s">
        <v>296</v>
      </c>
      <c r="O84" s="1">
        <v>60</v>
      </c>
      <c r="P84" s="1">
        <v>1100</v>
      </c>
      <c r="Q84" s="1" t="s">
        <v>832</v>
      </c>
      <c r="R84" s="1">
        <v>3</v>
      </c>
      <c r="S84" s="1">
        <v>4</v>
      </c>
      <c r="T84" s="1">
        <v>8</v>
      </c>
      <c r="U84" s="1" t="s">
        <v>40</v>
      </c>
      <c r="V84" s="1">
        <f t="shared" si="6"/>
        <v>5</v>
      </c>
      <c r="W84" s="1">
        <f t="shared" si="7"/>
        <v>1</v>
      </c>
      <c r="X84" s="1"/>
      <c r="Y84" s="16"/>
      <c r="Z84" s="1">
        <v>20190618</v>
      </c>
      <c r="AF84" s="2">
        <f t="shared" si="8"/>
        <v>5</v>
      </c>
    </row>
    <row r="85" spans="1:32" ht="15" customHeight="1" x14ac:dyDescent="0.15">
      <c r="B85" s="11" t="str">
        <f t="shared" si="5"/>
        <v>60N_CXG</v>
      </c>
      <c r="C85" s="1" t="s">
        <v>894</v>
      </c>
      <c r="D85" s="1" t="s">
        <v>833</v>
      </c>
      <c r="E85" s="2" t="s">
        <v>895</v>
      </c>
      <c r="F85" s="1" t="s">
        <v>828</v>
      </c>
      <c r="G85" s="1" t="s">
        <v>750</v>
      </c>
      <c r="H85" s="1" t="s">
        <v>280</v>
      </c>
      <c r="I85" s="1" t="s">
        <v>72</v>
      </c>
      <c r="J85" s="1" t="s">
        <v>748</v>
      </c>
      <c r="K85" s="1" t="s">
        <v>1695</v>
      </c>
      <c r="L85" s="1" t="s">
        <v>831</v>
      </c>
      <c r="M85" s="1" t="s">
        <v>296</v>
      </c>
      <c r="O85" s="1">
        <v>60</v>
      </c>
      <c r="P85" s="1">
        <v>1100</v>
      </c>
      <c r="Q85" s="1" t="s">
        <v>832</v>
      </c>
      <c r="R85" s="1">
        <v>4</v>
      </c>
      <c r="S85" s="1">
        <v>4</v>
      </c>
      <c r="T85" s="1">
        <v>8</v>
      </c>
      <c r="U85" s="1" t="s">
        <v>40</v>
      </c>
      <c r="V85" s="1">
        <f t="shared" si="6"/>
        <v>5</v>
      </c>
      <c r="W85" s="1">
        <f t="shared" si="7"/>
        <v>2</v>
      </c>
      <c r="X85" s="1"/>
      <c r="Y85" s="16"/>
      <c r="Z85" s="1">
        <v>20190618</v>
      </c>
      <c r="AF85" s="2">
        <f t="shared" si="8"/>
        <v>5</v>
      </c>
    </row>
    <row r="86" spans="1:32" ht="15" customHeight="1" x14ac:dyDescent="0.15">
      <c r="B86" s="11" t="str">
        <f t="shared" si="5"/>
        <v>60N_CXH</v>
      </c>
      <c r="C86" s="1" t="s">
        <v>894</v>
      </c>
      <c r="D86" s="1" t="s">
        <v>834</v>
      </c>
      <c r="E86" s="2" t="s">
        <v>895</v>
      </c>
      <c r="F86" s="1" t="s">
        <v>828</v>
      </c>
      <c r="G86" s="1" t="s">
        <v>750</v>
      </c>
      <c r="H86" s="1" t="s">
        <v>282</v>
      </c>
      <c r="I86" s="1" t="s">
        <v>72</v>
      </c>
      <c r="J86" s="1" t="s">
        <v>748</v>
      </c>
      <c r="K86" s="1" t="s">
        <v>1695</v>
      </c>
      <c r="L86" s="1" t="s">
        <v>831</v>
      </c>
      <c r="M86" s="1" t="s">
        <v>296</v>
      </c>
      <c r="O86" s="1">
        <v>60</v>
      </c>
      <c r="P86" s="1">
        <v>1100</v>
      </c>
      <c r="Q86" s="1" t="s">
        <v>832</v>
      </c>
      <c r="R86" s="1">
        <v>4</v>
      </c>
      <c r="S86" s="1">
        <v>4</v>
      </c>
      <c r="T86" s="1">
        <v>8</v>
      </c>
      <c r="U86" s="1" t="s">
        <v>40</v>
      </c>
      <c r="V86" s="1">
        <f t="shared" si="6"/>
        <v>5</v>
      </c>
      <c r="W86" s="1">
        <f t="shared" si="7"/>
        <v>3</v>
      </c>
      <c r="X86" s="1"/>
      <c r="Y86" s="16"/>
      <c r="Z86" s="1">
        <v>20190618</v>
      </c>
      <c r="AF86" s="2">
        <f t="shared" si="8"/>
        <v>5</v>
      </c>
    </row>
    <row r="87" spans="1:32" ht="15" customHeight="1" x14ac:dyDescent="0.15">
      <c r="B87" s="11" t="str">
        <f t="shared" si="5"/>
        <v>60N_RPG</v>
      </c>
      <c r="C87" s="1" t="s">
        <v>897</v>
      </c>
      <c r="D87" s="1" t="s">
        <v>746</v>
      </c>
      <c r="E87" s="2" t="s">
        <v>898</v>
      </c>
      <c r="F87" s="1" t="s">
        <v>837</v>
      </c>
      <c r="G87" s="1" t="s">
        <v>829</v>
      </c>
      <c r="H87" s="1" t="s">
        <v>280</v>
      </c>
      <c r="I87" s="1" t="s">
        <v>838</v>
      </c>
      <c r="J87" s="1" t="s">
        <v>839</v>
      </c>
      <c r="K87" s="80" t="s">
        <v>1719</v>
      </c>
      <c r="L87" s="1" t="s">
        <v>841</v>
      </c>
      <c r="M87" s="1" t="s">
        <v>296</v>
      </c>
      <c r="O87" s="1">
        <v>60</v>
      </c>
      <c r="P87" s="1">
        <v>1100</v>
      </c>
      <c r="Q87" s="1" t="s">
        <v>940</v>
      </c>
      <c r="R87" s="1">
        <v>3</v>
      </c>
      <c r="S87" s="1">
        <v>4</v>
      </c>
      <c r="T87" s="1">
        <v>4</v>
      </c>
      <c r="U87" s="1">
        <v>15</v>
      </c>
      <c r="V87" s="1">
        <f t="shared" si="6"/>
        <v>6</v>
      </c>
      <c r="W87" s="1">
        <f t="shared" si="7"/>
        <v>1</v>
      </c>
      <c r="X87" s="1"/>
      <c r="Y87" s="16"/>
      <c r="Z87" s="1"/>
      <c r="AF87" s="2">
        <f t="shared" si="8"/>
        <v>6</v>
      </c>
    </row>
    <row r="88" spans="1:32" ht="15" customHeight="1" x14ac:dyDescent="0.15">
      <c r="B88" s="11" t="str">
        <f t="shared" si="5"/>
        <v>60N_RXG</v>
      </c>
      <c r="C88" s="1" t="s">
        <v>897</v>
      </c>
      <c r="D88" s="1" t="s">
        <v>833</v>
      </c>
      <c r="E88" s="2" t="s">
        <v>898</v>
      </c>
      <c r="F88" s="1" t="s">
        <v>837</v>
      </c>
      <c r="G88" s="1" t="s">
        <v>750</v>
      </c>
      <c r="H88" s="1" t="s">
        <v>280</v>
      </c>
      <c r="I88" s="1" t="s">
        <v>838</v>
      </c>
      <c r="J88" s="1" t="s">
        <v>839</v>
      </c>
      <c r="K88" s="80" t="s">
        <v>1719</v>
      </c>
      <c r="L88" s="1" t="s">
        <v>841</v>
      </c>
      <c r="M88" s="1" t="s">
        <v>296</v>
      </c>
      <c r="O88" s="1">
        <v>60</v>
      </c>
      <c r="P88" s="1">
        <v>1100</v>
      </c>
      <c r="Q88" s="1" t="s">
        <v>940</v>
      </c>
      <c r="R88" s="1">
        <v>4</v>
      </c>
      <c r="S88" s="1">
        <v>4</v>
      </c>
      <c r="T88" s="1">
        <v>4</v>
      </c>
      <c r="U88" s="1">
        <v>15</v>
      </c>
      <c r="V88" s="1">
        <f t="shared" si="6"/>
        <v>6</v>
      </c>
      <c r="W88" s="1">
        <f t="shared" si="7"/>
        <v>2</v>
      </c>
      <c r="X88" s="1"/>
      <c r="Y88" s="16"/>
      <c r="Z88" s="1"/>
      <c r="AF88" s="2">
        <f t="shared" si="8"/>
        <v>6</v>
      </c>
    </row>
    <row r="89" spans="1:32" ht="15" customHeight="1" x14ac:dyDescent="0.15">
      <c r="B89" s="11" t="str">
        <f t="shared" si="5"/>
        <v>60N_RXH</v>
      </c>
      <c r="C89" s="1" t="s">
        <v>897</v>
      </c>
      <c r="D89" s="1" t="s">
        <v>834</v>
      </c>
      <c r="E89" s="2" t="s">
        <v>898</v>
      </c>
      <c r="F89" s="1" t="s">
        <v>837</v>
      </c>
      <c r="G89" s="1" t="s">
        <v>750</v>
      </c>
      <c r="H89" s="1" t="s">
        <v>282</v>
      </c>
      <c r="I89" s="1" t="s">
        <v>838</v>
      </c>
      <c r="J89" s="1" t="s">
        <v>839</v>
      </c>
      <c r="K89" s="80" t="s">
        <v>1719</v>
      </c>
      <c r="L89" s="1" t="s">
        <v>841</v>
      </c>
      <c r="M89" s="1" t="s">
        <v>296</v>
      </c>
      <c r="O89" s="1">
        <v>60</v>
      </c>
      <c r="P89" s="1">
        <v>1100</v>
      </c>
      <c r="Q89" s="1" t="s">
        <v>940</v>
      </c>
      <c r="R89" s="1">
        <v>4</v>
      </c>
      <c r="S89" s="1">
        <v>4</v>
      </c>
      <c r="T89" s="1">
        <v>4</v>
      </c>
      <c r="U89" s="1">
        <v>15</v>
      </c>
      <c r="V89" s="1">
        <f t="shared" si="6"/>
        <v>6</v>
      </c>
      <c r="W89" s="1">
        <f t="shared" si="7"/>
        <v>3</v>
      </c>
      <c r="X89" s="1"/>
      <c r="Y89" s="16"/>
      <c r="Z89" s="1"/>
      <c r="AF89" s="2">
        <f t="shared" si="8"/>
        <v>6</v>
      </c>
    </row>
    <row r="90" spans="1:32" ht="15" customHeight="1" x14ac:dyDescent="0.15">
      <c r="B90" s="11" t="str">
        <f t="shared" si="5"/>
        <v>60N_WPG</v>
      </c>
      <c r="C90" s="1" t="s">
        <v>899</v>
      </c>
      <c r="D90" s="1" t="s">
        <v>746</v>
      </c>
      <c r="E90" s="2" t="s">
        <v>900</v>
      </c>
      <c r="F90" s="1" t="s">
        <v>844</v>
      </c>
      <c r="G90" s="1" t="s">
        <v>829</v>
      </c>
      <c r="H90" s="1" t="s">
        <v>280</v>
      </c>
      <c r="I90" s="1" t="s">
        <v>751</v>
      </c>
      <c r="J90" s="1" t="s">
        <v>748</v>
      </c>
      <c r="K90" s="1" t="s">
        <v>1695</v>
      </c>
      <c r="L90" s="1" t="s">
        <v>831</v>
      </c>
      <c r="M90" s="1" t="s">
        <v>296</v>
      </c>
      <c r="O90" s="1">
        <v>60</v>
      </c>
      <c r="P90" s="1">
        <v>1100</v>
      </c>
      <c r="Q90" s="1" t="s">
        <v>943</v>
      </c>
      <c r="R90" s="1">
        <v>3</v>
      </c>
      <c r="S90" s="1">
        <v>4</v>
      </c>
      <c r="T90" s="1">
        <v>12</v>
      </c>
      <c r="U90" s="1" t="s">
        <v>40</v>
      </c>
      <c r="V90" s="1">
        <f t="shared" si="6"/>
        <v>7</v>
      </c>
      <c r="W90" s="1">
        <f t="shared" si="7"/>
        <v>1</v>
      </c>
      <c r="X90" s="1"/>
      <c r="Y90" s="16"/>
      <c r="Z90" s="1">
        <v>20190618</v>
      </c>
      <c r="AF90" s="2">
        <f t="shared" si="8"/>
        <v>7</v>
      </c>
    </row>
    <row r="91" spans="1:32" ht="15" customHeight="1" x14ac:dyDescent="0.15">
      <c r="B91" s="11" t="str">
        <f t="shared" si="5"/>
        <v>60N_WXG</v>
      </c>
      <c r="C91" s="1" t="s">
        <v>899</v>
      </c>
      <c r="D91" s="1" t="s">
        <v>833</v>
      </c>
      <c r="E91" s="2" t="s">
        <v>900</v>
      </c>
      <c r="F91" s="1" t="s">
        <v>844</v>
      </c>
      <c r="G91" s="1" t="s">
        <v>750</v>
      </c>
      <c r="H91" s="1" t="s">
        <v>280</v>
      </c>
      <c r="I91" s="1" t="s">
        <v>751</v>
      </c>
      <c r="J91" s="1" t="s">
        <v>748</v>
      </c>
      <c r="K91" s="1" t="s">
        <v>1695</v>
      </c>
      <c r="L91" s="1" t="s">
        <v>831</v>
      </c>
      <c r="M91" s="1" t="s">
        <v>296</v>
      </c>
      <c r="O91" s="1">
        <v>60</v>
      </c>
      <c r="P91" s="1">
        <v>1100</v>
      </c>
      <c r="Q91" s="1" t="s">
        <v>943</v>
      </c>
      <c r="R91" s="1">
        <v>4</v>
      </c>
      <c r="S91" s="1">
        <v>4</v>
      </c>
      <c r="T91" s="1">
        <v>12</v>
      </c>
      <c r="U91" s="1" t="s">
        <v>40</v>
      </c>
      <c r="V91" s="1">
        <f t="shared" si="6"/>
        <v>7</v>
      </c>
      <c r="W91" s="1">
        <f t="shared" si="7"/>
        <v>2</v>
      </c>
      <c r="X91" s="1"/>
      <c r="Y91" s="16"/>
      <c r="Z91" s="1">
        <v>20190618</v>
      </c>
      <c r="AF91" s="2">
        <f t="shared" si="8"/>
        <v>7</v>
      </c>
    </row>
    <row r="92" spans="1:32" ht="15" customHeight="1" x14ac:dyDescent="0.15">
      <c r="B92" s="11" t="str">
        <f t="shared" si="5"/>
        <v>60N_WXH</v>
      </c>
      <c r="C92" s="1" t="s">
        <v>899</v>
      </c>
      <c r="D92" s="1" t="s">
        <v>834</v>
      </c>
      <c r="E92" s="2" t="s">
        <v>900</v>
      </c>
      <c r="F92" s="1" t="s">
        <v>844</v>
      </c>
      <c r="G92" s="1" t="s">
        <v>750</v>
      </c>
      <c r="H92" s="1" t="s">
        <v>282</v>
      </c>
      <c r="I92" s="1" t="s">
        <v>751</v>
      </c>
      <c r="J92" s="1" t="s">
        <v>748</v>
      </c>
      <c r="K92" s="1" t="s">
        <v>1695</v>
      </c>
      <c r="L92" s="1" t="s">
        <v>831</v>
      </c>
      <c r="M92" s="1" t="s">
        <v>296</v>
      </c>
      <c r="O92" s="1">
        <v>60</v>
      </c>
      <c r="P92" s="1">
        <v>1100</v>
      </c>
      <c r="Q92" s="1" t="s">
        <v>943</v>
      </c>
      <c r="R92" s="1">
        <v>4</v>
      </c>
      <c r="S92" s="1">
        <v>4</v>
      </c>
      <c r="T92" s="1">
        <v>12</v>
      </c>
      <c r="U92" s="1" t="s">
        <v>40</v>
      </c>
      <c r="V92" s="1">
        <f t="shared" si="6"/>
        <v>7</v>
      </c>
      <c r="W92" s="1">
        <f t="shared" si="7"/>
        <v>3</v>
      </c>
      <c r="X92" s="1"/>
      <c r="Y92" s="16"/>
      <c r="Z92" s="1">
        <v>20190618</v>
      </c>
      <c r="AF92" s="2">
        <f t="shared" si="8"/>
        <v>7</v>
      </c>
    </row>
    <row r="93" spans="1:32" ht="15" customHeight="1" x14ac:dyDescent="0.15">
      <c r="B93" s="11" t="str">
        <f t="shared" si="5"/>
        <v>60L_CPG</v>
      </c>
      <c r="C93" s="1" t="s">
        <v>901</v>
      </c>
      <c r="D93" s="1" t="s">
        <v>746</v>
      </c>
      <c r="E93" s="2" t="s">
        <v>902</v>
      </c>
      <c r="F93" s="1" t="s">
        <v>828</v>
      </c>
      <c r="G93" s="1" t="s">
        <v>829</v>
      </c>
      <c r="H93" s="1" t="s">
        <v>280</v>
      </c>
      <c r="I93" s="1" t="s">
        <v>72</v>
      </c>
      <c r="J93" s="1" t="s">
        <v>748</v>
      </c>
      <c r="K93" s="80" t="s">
        <v>1718</v>
      </c>
      <c r="L93" s="1" t="s">
        <v>831</v>
      </c>
      <c r="M93" s="1" t="s">
        <v>296</v>
      </c>
      <c r="O93" s="1">
        <v>60</v>
      </c>
      <c r="P93" s="1">
        <v>1250</v>
      </c>
      <c r="Q93" s="1" t="s">
        <v>99</v>
      </c>
      <c r="R93" s="1">
        <v>3</v>
      </c>
      <c r="S93" s="1">
        <v>5</v>
      </c>
      <c r="T93" s="1">
        <v>8</v>
      </c>
      <c r="U93" s="1" t="s">
        <v>40</v>
      </c>
      <c r="V93" s="1">
        <f t="shared" si="6"/>
        <v>5</v>
      </c>
      <c r="W93" s="1">
        <f t="shared" si="7"/>
        <v>1</v>
      </c>
      <c r="X93" s="1"/>
      <c r="Y93" s="16"/>
      <c r="Z93" s="1"/>
      <c r="AF93" s="2">
        <f t="shared" si="8"/>
        <v>5</v>
      </c>
    </row>
    <row r="94" spans="1:32" ht="15" customHeight="1" x14ac:dyDescent="0.15">
      <c r="B94" s="11" t="str">
        <f t="shared" si="5"/>
        <v>60L_CXG</v>
      </c>
      <c r="C94" s="1" t="s">
        <v>901</v>
      </c>
      <c r="D94" s="1" t="s">
        <v>833</v>
      </c>
      <c r="E94" s="2" t="s">
        <v>902</v>
      </c>
      <c r="F94" s="1" t="s">
        <v>828</v>
      </c>
      <c r="G94" s="1" t="s">
        <v>750</v>
      </c>
      <c r="H94" s="1" t="s">
        <v>280</v>
      </c>
      <c r="I94" s="1" t="s">
        <v>72</v>
      </c>
      <c r="J94" s="1" t="s">
        <v>748</v>
      </c>
      <c r="K94" s="80" t="s">
        <v>1718</v>
      </c>
      <c r="L94" s="1" t="s">
        <v>831</v>
      </c>
      <c r="M94" s="1" t="s">
        <v>296</v>
      </c>
      <c r="O94" s="1">
        <v>60</v>
      </c>
      <c r="P94" s="1">
        <v>1250</v>
      </c>
      <c r="Q94" s="1" t="s">
        <v>99</v>
      </c>
      <c r="R94" s="1">
        <v>4</v>
      </c>
      <c r="S94" s="1">
        <v>5</v>
      </c>
      <c r="T94" s="1">
        <v>8</v>
      </c>
      <c r="U94" s="1" t="s">
        <v>40</v>
      </c>
      <c r="V94" s="1">
        <f t="shared" si="6"/>
        <v>5</v>
      </c>
      <c r="W94" s="1">
        <f t="shared" si="7"/>
        <v>2</v>
      </c>
      <c r="X94" s="1"/>
      <c r="Y94" s="16"/>
      <c r="Z94" s="1"/>
      <c r="AF94" s="2">
        <f t="shared" si="8"/>
        <v>5</v>
      </c>
    </row>
    <row r="95" spans="1:32" ht="15" customHeight="1" x14ac:dyDescent="0.15">
      <c r="B95" s="11" t="str">
        <f t="shared" si="5"/>
        <v>60L_CXH</v>
      </c>
      <c r="C95" s="1" t="s">
        <v>901</v>
      </c>
      <c r="D95" s="1" t="s">
        <v>834</v>
      </c>
      <c r="E95" s="2" t="s">
        <v>902</v>
      </c>
      <c r="F95" s="1" t="s">
        <v>828</v>
      </c>
      <c r="G95" s="1" t="s">
        <v>750</v>
      </c>
      <c r="H95" s="1" t="s">
        <v>282</v>
      </c>
      <c r="I95" s="1" t="s">
        <v>72</v>
      </c>
      <c r="J95" s="1" t="s">
        <v>748</v>
      </c>
      <c r="K95" s="80" t="s">
        <v>1718</v>
      </c>
      <c r="L95" s="1" t="s">
        <v>831</v>
      </c>
      <c r="M95" s="1" t="s">
        <v>296</v>
      </c>
      <c r="O95" s="1">
        <v>60</v>
      </c>
      <c r="P95" s="1">
        <v>1250</v>
      </c>
      <c r="Q95" s="1" t="s">
        <v>99</v>
      </c>
      <c r="R95" s="1">
        <v>4</v>
      </c>
      <c r="S95" s="1">
        <v>5</v>
      </c>
      <c r="T95" s="1">
        <v>8</v>
      </c>
      <c r="U95" s="1" t="s">
        <v>40</v>
      </c>
      <c r="V95" s="1">
        <f t="shared" si="6"/>
        <v>5</v>
      </c>
      <c r="W95" s="1">
        <f t="shared" si="7"/>
        <v>3</v>
      </c>
      <c r="X95" s="1"/>
      <c r="Y95" s="16"/>
      <c r="Z95" s="1"/>
      <c r="AF95" s="2">
        <f t="shared" si="8"/>
        <v>5</v>
      </c>
    </row>
    <row r="96" spans="1:32" ht="15" customHeight="1" x14ac:dyDescent="0.15">
      <c r="A96" s="2" t="s">
        <v>1591</v>
      </c>
      <c r="B96" s="63" t="str">
        <f t="shared" si="5"/>
        <v>60L_RPG</v>
      </c>
      <c r="C96" s="62" t="s">
        <v>903</v>
      </c>
      <c r="D96" s="62" t="s">
        <v>746</v>
      </c>
      <c r="E96" s="64" t="s">
        <v>904</v>
      </c>
      <c r="F96" s="62" t="s">
        <v>837</v>
      </c>
      <c r="G96" s="62" t="s">
        <v>829</v>
      </c>
      <c r="H96" s="62" t="s">
        <v>280</v>
      </c>
      <c r="I96" s="62" t="s">
        <v>838</v>
      </c>
      <c r="J96" s="62" t="s">
        <v>839</v>
      </c>
      <c r="K96" s="62" t="s">
        <v>40</v>
      </c>
      <c r="L96" s="62" t="s">
        <v>841</v>
      </c>
      <c r="M96" s="62" t="s">
        <v>296</v>
      </c>
      <c r="N96" s="64"/>
      <c r="O96" s="62">
        <v>60</v>
      </c>
      <c r="P96" s="62">
        <v>1250</v>
      </c>
      <c r="Q96" s="62" t="s">
        <v>941</v>
      </c>
      <c r="R96" s="62">
        <v>3</v>
      </c>
      <c r="S96" s="62">
        <v>5</v>
      </c>
      <c r="T96" s="62">
        <v>5</v>
      </c>
      <c r="U96" s="62">
        <v>15</v>
      </c>
      <c r="V96" s="62">
        <f t="shared" si="6"/>
        <v>6</v>
      </c>
      <c r="W96" s="62">
        <f t="shared" si="7"/>
        <v>1</v>
      </c>
      <c r="X96" s="62"/>
      <c r="Y96" s="16"/>
      <c r="Z96" s="1"/>
      <c r="AF96" s="2">
        <f t="shared" si="8"/>
        <v>6</v>
      </c>
    </row>
    <row r="97" spans="1:32" ht="15" customHeight="1" x14ac:dyDescent="0.15">
      <c r="A97" s="2" t="s">
        <v>1591</v>
      </c>
      <c r="B97" s="63" t="str">
        <f t="shared" si="5"/>
        <v>60L_RXG</v>
      </c>
      <c r="C97" s="62" t="s">
        <v>903</v>
      </c>
      <c r="D97" s="62" t="s">
        <v>833</v>
      </c>
      <c r="E97" s="64" t="s">
        <v>904</v>
      </c>
      <c r="F97" s="62" t="s">
        <v>837</v>
      </c>
      <c r="G97" s="62" t="s">
        <v>750</v>
      </c>
      <c r="H97" s="62" t="s">
        <v>280</v>
      </c>
      <c r="I97" s="62" t="s">
        <v>838</v>
      </c>
      <c r="J97" s="62" t="s">
        <v>839</v>
      </c>
      <c r="K97" s="62" t="s">
        <v>40</v>
      </c>
      <c r="L97" s="62" t="s">
        <v>841</v>
      </c>
      <c r="M97" s="62" t="s">
        <v>296</v>
      </c>
      <c r="N97" s="64"/>
      <c r="O97" s="62">
        <v>60</v>
      </c>
      <c r="P97" s="62">
        <v>1250</v>
      </c>
      <c r="Q97" s="62" t="s">
        <v>941</v>
      </c>
      <c r="R97" s="62">
        <v>4</v>
      </c>
      <c r="S97" s="62">
        <v>5</v>
      </c>
      <c r="T97" s="62">
        <v>5</v>
      </c>
      <c r="U97" s="62">
        <v>15</v>
      </c>
      <c r="V97" s="62">
        <f t="shared" si="6"/>
        <v>6</v>
      </c>
      <c r="W97" s="62">
        <f t="shared" si="7"/>
        <v>2</v>
      </c>
      <c r="X97" s="62"/>
      <c r="Y97" s="16"/>
      <c r="Z97" s="1"/>
      <c r="AF97" s="2">
        <f t="shared" si="8"/>
        <v>6</v>
      </c>
    </row>
    <row r="98" spans="1:32" ht="15" customHeight="1" x14ac:dyDescent="0.15">
      <c r="A98" s="2" t="s">
        <v>1591</v>
      </c>
      <c r="B98" s="63" t="str">
        <f t="shared" si="5"/>
        <v>60L_RXH</v>
      </c>
      <c r="C98" s="62" t="s">
        <v>903</v>
      </c>
      <c r="D98" s="62" t="s">
        <v>834</v>
      </c>
      <c r="E98" s="64" t="s">
        <v>904</v>
      </c>
      <c r="F98" s="62" t="s">
        <v>837</v>
      </c>
      <c r="G98" s="62" t="s">
        <v>750</v>
      </c>
      <c r="H98" s="62" t="s">
        <v>282</v>
      </c>
      <c r="I98" s="62" t="s">
        <v>838</v>
      </c>
      <c r="J98" s="62" t="s">
        <v>839</v>
      </c>
      <c r="K98" s="62" t="s">
        <v>40</v>
      </c>
      <c r="L98" s="62" t="s">
        <v>841</v>
      </c>
      <c r="M98" s="62" t="s">
        <v>296</v>
      </c>
      <c r="N98" s="64"/>
      <c r="O98" s="62">
        <v>60</v>
      </c>
      <c r="P98" s="62">
        <v>1250</v>
      </c>
      <c r="Q98" s="62" t="s">
        <v>941</v>
      </c>
      <c r="R98" s="62">
        <v>4</v>
      </c>
      <c r="S98" s="62">
        <v>5</v>
      </c>
      <c r="T98" s="62">
        <v>5</v>
      </c>
      <c r="U98" s="62">
        <v>15</v>
      </c>
      <c r="V98" s="62">
        <f t="shared" si="6"/>
        <v>6</v>
      </c>
      <c r="W98" s="62">
        <f t="shared" si="7"/>
        <v>3</v>
      </c>
      <c r="X98" s="62"/>
      <c r="Y98" s="16"/>
      <c r="Z98" s="1"/>
      <c r="AF98" s="2">
        <f t="shared" si="8"/>
        <v>6</v>
      </c>
    </row>
    <row r="99" spans="1:32" ht="15" customHeight="1" x14ac:dyDescent="0.15">
      <c r="B99" s="11" t="str">
        <f t="shared" si="5"/>
        <v>60L_WPG</v>
      </c>
      <c r="C99" s="1" t="s">
        <v>905</v>
      </c>
      <c r="D99" s="1" t="s">
        <v>746</v>
      </c>
      <c r="E99" s="2" t="s">
        <v>906</v>
      </c>
      <c r="F99" s="1" t="s">
        <v>844</v>
      </c>
      <c r="G99" s="1" t="s">
        <v>829</v>
      </c>
      <c r="H99" s="1" t="s">
        <v>280</v>
      </c>
      <c r="I99" s="1" t="s">
        <v>751</v>
      </c>
      <c r="J99" s="1" t="s">
        <v>748</v>
      </c>
      <c r="K99" s="80" t="s">
        <v>1718</v>
      </c>
      <c r="L99" s="1" t="s">
        <v>831</v>
      </c>
      <c r="M99" s="1" t="s">
        <v>296</v>
      </c>
      <c r="O99" s="1">
        <v>60</v>
      </c>
      <c r="P99" s="1">
        <v>1250</v>
      </c>
      <c r="Q99" s="1" t="s">
        <v>942</v>
      </c>
      <c r="R99" s="1">
        <v>3</v>
      </c>
      <c r="S99" s="1">
        <v>5</v>
      </c>
      <c r="T99" s="1">
        <v>12</v>
      </c>
      <c r="U99" s="1" t="s">
        <v>40</v>
      </c>
      <c r="V99" s="1">
        <f t="shared" si="6"/>
        <v>7</v>
      </c>
      <c r="W99" s="1">
        <f t="shared" si="7"/>
        <v>1</v>
      </c>
      <c r="X99" s="1"/>
      <c r="Y99" s="16"/>
      <c r="Z99" s="1"/>
      <c r="AF99" s="2">
        <f t="shared" si="8"/>
        <v>7</v>
      </c>
    </row>
    <row r="100" spans="1:32" ht="15" customHeight="1" x14ac:dyDescent="0.15">
      <c r="B100" s="11" t="str">
        <f t="shared" si="5"/>
        <v>60L_WXG</v>
      </c>
      <c r="C100" s="1" t="s">
        <v>905</v>
      </c>
      <c r="D100" s="1" t="s">
        <v>833</v>
      </c>
      <c r="E100" s="2" t="s">
        <v>906</v>
      </c>
      <c r="F100" s="1" t="s">
        <v>844</v>
      </c>
      <c r="G100" s="1" t="s">
        <v>750</v>
      </c>
      <c r="H100" s="1" t="s">
        <v>280</v>
      </c>
      <c r="I100" s="1" t="s">
        <v>751</v>
      </c>
      <c r="J100" s="1" t="s">
        <v>748</v>
      </c>
      <c r="K100" s="80" t="s">
        <v>1718</v>
      </c>
      <c r="L100" s="1" t="s">
        <v>831</v>
      </c>
      <c r="M100" s="1" t="s">
        <v>296</v>
      </c>
      <c r="O100" s="1">
        <v>60</v>
      </c>
      <c r="P100" s="1">
        <v>1250</v>
      </c>
      <c r="Q100" s="1" t="s">
        <v>942</v>
      </c>
      <c r="R100" s="1">
        <v>4</v>
      </c>
      <c r="S100" s="1">
        <v>5</v>
      </c>
      <c r="T100" s="1">
        <v>12</v>
      </c>
      <c r="U100" s="1" t="s">
        <v>40</v>
      </c>
      <c r="V100" s="1">
        <f t="shared" si="6"/>
        <v>7</v>
      </c>
      <c r="W100" s="1">
        <f t="shared" si="7"/>
        <v>2</v>
      </c>
      <c r="X100" s="1"/>
      <c r="Y100" s="16"/>
      <c r="Z100" s="1"/>
      <c r="AF100" s="2">
        <f t="shared" si="8"/>
        <v>7</v>
      </c>
    </row>
    <row r="101" spans="1:32" ht="15" customHeight="1" x14ac:dyDescent="0.15">
      <c r="A101" s="2" t="s">
        <v>1606</v>
      </c>
      <c r="B101" s="11" t="str">
        <f t="shared" si="5"/>
        <v>60L_WXH</v>
      </c>
      <c r="C101" s="1" t="s">
        <v>905</v>
      </c>
      <c r="D101" s="1" t="s">
        <v>834</v>
      </c>
      <c r="E101" s="2" t="s">
        <v>906</v>
      </c>
      <c r="F101" s="1" t="s">
        <v>844</v>
      </c>
      <c r="G101" s="1" t="s">
        <v>750</v>
      </c>
      <c r="H101" s="1" t="s">
        <v>282</v>
      </c>
      <c r="I101" s="1" t="s">
        <v>751</v>
      </c>
      <c r="J101" s="1" t="s">
        <v>748</v>
      </c>
      <c r="K101" s="80" t="s">
        <v>1718</v>
      </c>
      <c r="L101" s="1" t="s">
        <v>831</v>
      </c>
      <c r="M101" s="1" t="s">
        <v>296</v>
      </c>
      <c r="O101" s="1">
        <v>60</v>
      </c>
      <c r="P101" s="1">
        <v>1250</v>
      </c>
      <c r="Q101" s="1" t="s">
        <v>942</v>
      </c>
      <c r="R101" s="1">
        <v>4</v>
      </c>
      <c r="S101" s="1">
        <v>5</v>
      </c>
      <c r="T101" s="1">
        <v>12</v>
      </c>
      <c r="U101" s="1" t="s">
        <v>40</v>
      </c>
      <c r="V101" s="1">
        <f t="shared" si="6"/>
        <v>7</v>
      </c>
      <c r="W101" s="1">
        <f t="shared" si="7"/>
        <v>3</v>
      </c>
      <c r="X101" s="1"/>
      <c r="Y101" s="16"/>
      <c r="Z101" s="1"/>
      <c r="AF101" s="2">
        <f t="shared" si="8"/>
        <v>7</v>
      </c>
    </row>
    <row r="102" spans="1:32" ht="15" customHeight="1" x14ac:dyDescent="0.15">
      <c r="B102" s="11" t="str">
        <f t="shared" si="5"/>
        <v>60L_DPG</v>
      </c>
      <c r="C102" s="1" t="s">
        <v>907</v>
      </c>
      <c r="D102" s="1" t="s">
        <v>746</v>
      </c>
      <c r="E102" s="2" t="s">
        <v>908</v>
      </c>
      <c r="F102" s="1" t="s">
        <v>99</v>
      </c>
      <c r="G102" s="1" t="s">
        <v>829</v>
      </c>
      <c r="H102" s="1" t="s">
        <v>280</v>
      </c>
      <c r="I102" s="1" t="s">
        <v>72</v>
      </c>
      <c r="J102" s="1" t="s">
        <v>748</v>
      </c>
      <c r="K102" s="1" t="s">
        <v>909</v>
      </c>
      <c r="L102" s="1" t="s">
        <v>831</v>
      </c>
      <c r="M102" s="1" t="s">
        <v>296</v>
      </c>
      <c r="O102" s="1">
        <v>60</v>
      </c>
      <c r="P102" s="1">
        <v>1250</v>
      </c>
      <c r="Q102" s="1" t="s">
        <v>99</v>
      </c>
      <c r="R102" s="1">
        <v>3</v>
      </c>
      <c r="S102" s="1">
        <v>5</v>
      </c>
      <c r="T102" s="1">
        <v>8</v>
      </c>
      <c r="U102" s="1" t="s">
        <v>40</v>
      </c>
      <c r="V102" s="1">
        <f t="shared" si="6"/>
        <v>5</v>
      </c>
      <c r="W102" s="1">
        <f t="shared" si="7"/>
        <v>1</v>
      </c>
      <c r="X102" s="1"/>
      <c r="Y102" s="16"/>
      <c r="Z102" s="1"/>
      <c r="AF102" s="2">
        <f t="shared" si="8"/>
        <v>5</v>
      </c>
    </row>
    <row r="103" spans="1:32" ht="15" customHeight="1" x14ac:dyDescent="0.15">
      <c r="B103" s="11" t="str">
        <f t="shared" si="5"/>
        <v>60L_DXG</v>
      </c>
      <c r="C103" s="1" t="s">
        <v>907</v>
      </c>
      <c r="D103" s="1" t="s">
        <v>833</v>
      </c>
      <c r="E103" s="2" t="s">
        <v>908</v>
      </c>
      <c r="F103" s="1" t="s">
        <v>99</v>
      </c>
      <c r="G103" s="1" t="s">
        <v>750</v>
      </c>
      <c r="H103" s="1" t="s">
        <v>280</v>
      </c>
      <c r="I103" s="1" t="s">
        <v>72</v>
      </c>
      <c r="J103" s="1" t="s">
        <v>748</v>
      </c>
      <c r="K103" s="1" t="s">
        <v>909</v>
      </c>
      <c r="L103" s="1" t="s">
        <v>831</v>
      </c>
      <c r="M103" s="1" t="s">
        <v>296</v>
      </c>
      <c r="O103" s="1">
        <v>60</v>
      </c>
      <c r="P103" s="1">
        <v>1250</v>
      </c>
      <c r="Q103" s="1" t="s">
        <v>99</v>
      </c>
      <c r="R103" s="1">
        <v>4</v>
      </c>
      <c r="S103" s="1">
        <v>5</v>
      </c>
      <c r="T103" s="1">
        <v>8</v>
      </c>
      <c r="U103" s="1" t="s">
        <v>40</v>
      </c>
      <c r="V103" s="1">
        <f t="shared" si="6"/>
        <v>5</v>
      </c>
      <c r="W103" s="1">
        <f t="shared" si="7"/>
        <v>2</v>
      </c>
      <c r="X103" s="1"/>
      <c r="Y103" s="16"/>
      <c r="Z103" s="1"/>
      <c r="AF103" s="2">
        <f t="shared" si="8"/>
        <v>5</v>
      </c>
    </row>
    <row r="104" spans="1:32" ht="15" customHeight="1" x14ac:dyDescent="0.15">
      <c r="B104" s="11" t="str">
        <f t="shared" si="5"/>
        <v>60L_DXH</v>
      </c>
      <c r="C104" s="1" t="s">
        <v>907</v>
      </c>
      <c r="D104" s="1" t="s">
        <v>834</v>
      </c>
      <c r="E104" s="2" t="s">
        <v>908</v>
      </c>
      <c r="F104" s="1" t="s">
        <v>99</v>
      </c>
      <c r="G104" s="1" t="s">
        <v>750</v>
      </c>
      <c r="H104" s="1" t="s">
        <v>282</v>
      </c>
      <c r="I104" s="1" t="s">
        <v>72</v>
      </c>
      <c r="J104" s="1" t="s">
        <v>748</v>
      </c>
      <c r="K104" s="1" t="s">
        <v>909</v>
      </c>
      <c r="L104" s="1" t="s">
        <v>831</v>
      </c>
      <c r="M104" s="1" t="s">
        <v>296</v>
      </c>
      <c r="O104" s="1">
        <v>60</v>
      </c>
      <c r="P104" s="1">
        <v>1250</v>
      </c>
      <c r="Q104" s="1" t="s">
        <v>99</v>
      </c>
      <c r="R104" s="1">
        <v>4</v>
      </c>
      <c r="S104" s="1">
        <v>5</v>
      </c>
      <c r="T104" s="1">
        <v>8</v>
      </c>
      <c r="U104" s="1" t="s">
        <v>40</v>
      </c>
      <c r="V104" s="1">
        <f t="shared" si="6"/>
        <v>5</v>
      </c>
      <c r="W104" s="1">
        <f t="shared" si="7"/>
        <v>3</v>
      </c>
      <c r="X104" s="1"/>
      <c r="Y104" s="16"/>
      <c r="Z104" s="1"/>
      <c r="AF104" s="2">
        <f t="shared" si="8"/>
        <v>5</v>
      </c>
    </row>
    <row r="105" spans="1:32" ht="15" customHeight="1" x14ac:dyDescent="0.15">
      <c r="B105" s="11" t="str">
        <f t="shared" si="5"/>
        <v>60L_SPG</v>
      </c>
      <c r="C105" s="1" t="s">
        <v>1594</v>
      </c>
      <c r="D105" s="1" t="s">
        <v>746</v>
      </c>
      <c r="E105" s="2" t="s">
        <v>904</v>
      </c>
      <c r="F105" s="1" t="s">
        <v>850</v>
      </c>
      <c r="G105" s="1" t="s">
        <v>829</v>
      </c>
      <c r="H105" s="1" t="s">
        <v>280</v>
      </c>
      <c r="I105" s="1" t="s">
        <v>838</v>
      </c>
      <c r="J105" s="1" t="s">
        <v>839</v>
      </c>
      <c r="K105" s="1" t="s">
        <v>1595</v>
      </c>
      <c r="L105" s="1" t="s">
        <v>841</v>
      </c>
      <c r="M105" s="1" t="s">
        <v>296</v>
      </c>
      <c r="O105" s="1">
        <v>60</v>
      </c>
      <c r="P105" s="1">
        <v>1250</v>
      </c>
      <c r="Q105" s="1" t="s">
        <v>941</v>
      </c>
      <c r="R105" s="1">
        <v>3</v>
      </c>
      <c r="S105" s="1">
        <v>5</v>
      </c>
      <c r="T105" s="1">
        <v>5</v>
      </c>
      <c r="U105" s="1">
        <v>15</v>
      </c>
      <c r="V105" s="1">
        <f t="shared" si="6"/>
        <v>6</v>
      </c>
      <c r="W105" s="1">
        <f t="shared" si="7"/>
        <v>1</v>
      </c>
      <c r="X105" s="1"/>
      <c r="Y105" s="16"/>
      <c r="Z105" s="1"/>
      <c r="AF105" s="2">
        <f t="shared" si="8"/>
        <v>6</v>
      </c>
    </row>
    <row r="106" spans="1:32" ht="15" customHeight="1" x14ac:dyDescent="0.15">
      <c r="B106" s="11" t="str">
        <f t="shared" si="5"/>
        <v>60L_SXG</v>
      </c>
      <c r="C106" s="1" t="s">
        <v>1594</v>
      </c>
      <c r="D106" s="1" t="s">
        <v>833</v>
      </c>
      <c r="E106" s="2" t="s">
        <v>904</v>
      </c>
      <c r="F106" s="1" t="s">
        <v>850</v>
      </c>
      <c r="G106" s="1" t="s">
        <v>750</v>
      </c>
      <c r="H106" s="1" t="s">
        <v>280</v>
      </c>
      <c r="I106" s="1" t="s">
        <v>838</v>
      </c>
      <c r="J106" s="1" t="s">
        <v>839</v>
      </c>
      <c r="K106" s="1" t="s">
        <v>1595</v>
      </c>
      <c r="L106" s="1" t="s">
        <v>841</v>
      </c>
      <c r="M106" s="1" t="s">
        <v>296</v>
      </c>
      <c r="O106" s="1">
        <v>60</v>
      </c>
      <c r="P106" s="1">
        <v>1250</v>
      </c>
      <c r="Q106" s="1" t="s">
        <v>941</v>
      </c>
      <c r="R106" s="1">
        <v>4</v>
      </c>
      <c r="S106" s="1">
        <v>5</v>
      </c>
      <c r="T106" s="1">
        <v>5</v>
      </c>
      <c r="U106" s="1">
        <v>15</v>
      </c>
      <c r="V106" s="1">
        <f t="shared" si="6"/>
        <v>6</v>
      </c>
      <c r="W106" s="1">
        <f t="shared" si="7"/>
        <v>2</v>
      </c>
      <c r="X106" s="1"/>
      <c r="Y106" s="16"/>
      <c r="Z106" s="1"/>
      <c r="AF106" s="2">
        <f t="shared" si="8"/>
        <v>6</v>
      </c>
    </row>
    <row r="107" spans="1:32" ht="15" customHeight="1" x14ac:dyDescent="0.15">
      <c r="B107" s="11" t="str">
        <f t="shared" si="5"/>
        <v>60L_SXH</v>
      </c>
      <c r="C107" s="1" t="s">
        <v>1594</v>
      </c>
      <c r="D107" s="1" t="s">
        <v>834</v>
      </c>
      <c r="E107" s="2" t="s">
        <v>904</v>
      </c>
      <c r="F107" s="1" t="s">
        <v>850</v>
      </c>
      <c r="G107" s="1" t="s">
        <v>750</v>
      </c>
      <c r="H107" s="1" t="s">
        <v>282</v>
      </c>
      <c r="I107" s="1" t="s">
        <v>838</v>
      </c>
      <c r="J107" s="1" t="s">
        <v>839</v>
      </c>
      <c r="K107" s="1" t="s">
        <v>1595</v>
      </c>
      <c r="L107" s="1" t="s">
        <v>841</v>
      </c>
      <c r="M107" s="1" t="s">
        <v>296</v>
      </c>
      <c r="O107" s="1">
        <v>60</v>
      </c>
      <c r="P107" s="1">
        <v>1250</v>
      </c>
      <c r="Q107" s="1" t="s">
        <v>941</v>
      </c>
      <c r="R107" s="1">
        <v>4</v>
      </c>
      <c r="S107" s="1">
        <v>5</v>
      </c>
      <c r="T107" s="1">
        <v>5</v>
      </c>
      <c r="U107" s="1">
        <v>15</v>
      </c>
      <c r="V107" s="1">
        <f t="shared" si="6"/>
        <v>6</v>
      </c>
      <c r="W107" s="1">
        <f t="shared" si="7"/>
        <v>3</v>
      </c>
      <c r="X107" s="1"/>
      <c r="Y107" s="16"/>
      <c r="Z107" s="1"/>
      <c r="AF107" s="2">
        <f t="shared" si="8"/>
        <v>6</v>
      </c>
    </row>
    <row r="108" spans="1:32" ht="15" customHeight="1" x14ac:dyDescent="0.15">
      <c r="B108" s="11" t="str">
        <f t="shared" si="5"/>
        <v>80L_CPG</v>
      </c>
      <c r="C108" s="1" t="s">
        <v>910</v>
      </c>
      <c r="D108" s="1" t="s">
        <v>746</v>
      </c>
      <c r="E108" s="2" t="s">
        <v>911</v>
      </c>
      <c r="F108" s="1" t="s">
        <v>828</v>
      </c>
      <c r="G108" s="1" t="s">
        <v>829</v>
      </c>
      <c r="H108" s="1" t="s">
        <v>280</v>
      </c>
      <c r="I108" s="1" t="s">
        <v>72</v>
      </c>
      <c r="J108" s="1" t="s">
        <v>748</v>
      </c>
      <c r="K108" s="1" t="s">
        <v>912</v>
      </c>
      <c r="L108" s="1" t="s">
        <v>831</v>
      </c>
      <c r="M108" s="1" t="s">
        <v>296</v>
      </c>
      <c r="O108" s="1">
        <v>80</v>
      </c>
      <c r="P108" s="1">
        <v>1250</v>
      </c>
      <c r="Q108" s="1" t="s">
        <v>99</v>
      </c>
      <c r="R108" s="1">
        <v>3</v>
      </c>
      <c r="S108" s="1">
        <v>5</v>
      </c>
      <c r="T108" s="1">
        <v>8</v>
      </c>
      <c r="U108" s="1" t="s">
        <v>40</v>
      </c>
      <c r="V108" s="1">
        <f t="shared" si="6"/>
        <v>5</v>
      </c>
      <c r="W108" s="1">
        <f t="shared" si="7"/>
        <v>1</v>
      </c>
      <c r="X108" s="1"/>
      <c r="Y108" s="16"/>
      <c r="Z108" s="1"/>
      <c r="AF108" s="2">
        <f t="shared" si="8"/>
        <v>5</v>
      </c>
    </row>
    <row r="109" spans="1:32" ht="15" customHeight="1" x14ac:dyDescent="0.15">
      <c r="B109" s="11" t="str">
        <f t="shared" si="5"/>
        <v>80L_CXG</v>
      </c>
      <c r="C109" s="1" t="s">
        <v>910</v>
      </c>
      <c r="D109" s="1" t="s">
        <v>833</v>
      </c>
      <c r="E109" s="2" t="s">
        <v>911</v>
      </c>
      <c r="F109" s="1" t="s">
        <v>828</v>
      </c>
      <c r="G109" s="1" t="s">
        <v>750</v>
      </c>
      <c r="H109" s="1" t="s">
        <v>280</v>
      </c>
      <c r="I109" s="1" t="s">
        <v>72</v>
      </c>
      <c r="J109" s="1" t="s">
        <v>748</v>
      </c>
      <c r="K109" s="1" t="s">
        <v>912</v>
      </c>
      <c r="L109" s="1" t="s">
        <v>831</v>
      </c>
      <c r="M109" s="1" t="s">
        <v>296</v>
      </c>
      <c r="O109" s="1">
        <v>80</v>
      </c>
      <c r="P109" s="1">
        <v>1250</v>
      </c>
      <c r="Q109" s="1" t="s">
        <v>99</v>
      </c>
      <c r="R109" s="1">
        <v>4</v>
      </c>
      <c r="S109" s="1">
        <v>5</v>
      </c>
      <c r="T109" s="1">
        <v>8</v>
      </c>
      <c r="U109" s="1" t="s">
        <v>40</v>
      </c>
      <c r="V109" s="1">
        <f t="shared" si="6"/>
        <v>5</v>
      </c>
      <c r="W109" s="1">
        <f t="shared" si="7"/>
        <v>2</v>
      </c>
      <c r="X109" s="1"/>
      <c r="Y109" s="16"/>
      <c r="Z109" s="1"/>
      <c r="AF109" s="2">
        <f t="shared" si="8"/>
        <v>5</v>
      </c>
    </row>
    <row r="110" spans="1:32" ht="15" customHeight="1" x14ac:dyDescent="0.15">
      <c r="B110" s="11" t="str">
        <f t="shared" si="5"/>
        <v>80L_CXH</v>
      </c>
      <c r="C110" s="1" t="s">
        <v>910</v>
      </c>
      <c r="D110" s="1" t="s">
        <v>834</v>
      </c>
      <c r="E110" s="2" t="s">
        <v>911</v>
      </c>
      <c r="F110" s="1" t="s">
        <v>828</v>
      </c>
      <c r="G110" s="1" t="s">
        <v>750</v>
      </c>
      <c r="H110" s="1" t="s">
        <v>282</v>
      </c>
      <c r="I110" s="1" t="s">
        <v>72</v>
      </c>
      <c r="J110" s="1" t="s">
        <v>748</v>
      </c>
      <c r="K110" s="1" t="s">
        <v>912</v>
      </c>
      <c r="L110" s="1" t="s">
        <v>831</v>
      </c>
      <c r="M110" s="1" t="s">
        <v>296</v>
      </c>
      <c r="O110" s="1">
        <v>80</v>
      </c>
      <c r="P110" s="1">
        <v>1250</v>
      </c>
      <c r="Q110" s="1" t="s">
        <v>99</v>
      </c>
      <c r="R110" s="1">
        <v>4</v>
      </c>
      <c r="S110" s="1">
        <v>5</v>
      </c>
      <c r="T110" s="1">
        <v>8</v>
      </c>
      <c r="U110" s="1" t="s">
        <v>40</v>
      </c>
      <c r="V110" s="1">
        <f t="shared" si="6"/>
        <v>5</v>
      </c>
      <c r="W110" s="1">
        <f t="shared" si="7"/>
        <v>3</v>
      </c>
      <c r="X110" s="1"/>
      <c r="Y110" s="16"/>
      <c r="Z110" s="1"/>
      <c r="AF110" s="2">
        <f t="shared" si="8"/>
        <v>5</v>
      </c>
    </row>
    <row r="111" spans="1:32" ht="15" customHeight="1" x14ac:dyDescent="0.15">
      <c r="B111" s="11" t="str">
        <f t="shared" ref="B111:B122" si="9">CONCATENATE($O111,VLOOKUP(P111,cat,2,FALSE),"_",VLOOKUP(F111,mat,2,FALSE),VLOOKUP(G111,cop,2,FALSE),VLOOKUP(H111,chg,2,FALSE))</f>
        <v>80L_RPG</v>
      </c>
      <c r="C111" s="1" t="s">
        <v>913</v>
      </c>
      <c r="D111" s="1" t="s">
        <v>746</v>
      </c>
      <c r="E111" s="2" t="s">
        <v>914</v>
      </c>
      <c r="F111" s="1" t="s">
        <v>837</v>
      </c>
      <c r="G111" s="1" t="s">
        <v>829</v>
      </c>
      <c r="H111" s="1" t="s">
        <v>280</v>
      </c>
      <c r="I111" s="1" t="s">
        <v>838</v>
      </c>
      <c r="J111" s="1" t="s">
        <v>839</v>
      </c>
      <c r="K111" s="1" t="s">
        <v>915</v>
      </c>
      <c r="L111" s="1" t="s">
        <v>841</v>
      </c>
      <c r="M111" s="1" t="s">
        <v>296</v>
      </c>
      <c r="O111" s="1">
        <v>80</v>
      </c>
      <c r="P111" s="1">
        <v>1250</v>
      </c>
      <c r="Q111" s="1" t="s">
        <v>941</v>
      </c>
      <c r="R111" s="1">
        <v>3</v>
      </c>
      <c r="S111" s="1">
        <v>5</v>
      </c>
      <c r="T111" s="1">
        <v>5</v>
      </c>
      <c r="U111" s="1">
        <v>15</v>
      </c>
      <c r="V111" s="1">
        <f t="shared" si="6"/>
        <v>6</v>
      </c>
      <c r="W111" s="1">
        <f t="shared" si="7"/>
        <v>1</v>
      </c>
      <c r="X111" s="1"/>
      <c r="Y111" s="16"/>
      <c r="Z111" s="1"/>
      <c r="AF111" s="2">
        <f t="shared" si="8"/>
        <v>6</v>
      </c>
    </row>
    <row r="112" spans="1:32" ht="15" customHeight="1" x14ac:dyDescent="0.15">
      <c r="B112" s="11" t="str">
        <f t="shared" si="9"/>
        <v>80L_RXG</v>
      </c>
      <c r="C112" s="1" t="s">
        <v>913</v>
      </c>
      <c r="D112" s="1" t="s">
        <v>833</v>
      </c>
      <c r="E112" s="2" t="s">
        <v>914</v>
      </c>
      <c r="F112" s="1" t="s">
        <v>837</v>
      </c>
      <c r="G112" s="1" t="s">
        <v>750</v>
      </c>
      <c r="H112" s="1" t="s">
        <v>280</v>
      </c>
      <c r="I112" s="1" t="s">
        <v>838</v>
      </c>
      <c r="J112" s="1" t="s">
        <v>839</v>
      </c>
      <c r="K112" s="1" t="s">
        <v>915</v>
      </c>
      <c r="L112" s="1" t="s">
        <v>841</v>
      </c>
      <c r="M112" s="1" t="s">
        <v>296</v>
      </c>
      <c r="O112" s="1">
        <v>80</v>
      </c>
      <c r="P112" s="1">
        <v>1250</v>
      </c>
      <c r="Q112" s="1" t="s">
        <v>941</v>
      </c>
      <c r="R112" s="1">
        <v>4</v>
      </c>
      <c r="S112" s="1">
        <v>5</v>
      </c>
      <c r="T112" s="1">
        <v>5</v>
      </c>
      <c r="U112" s="1">
        <v>15</v>
      </c>
      <c r="V112" s="1">
        <f t="shared" si="6"/>
        <v>6</v>
      </c>
      <c r="W112" s="1">
        <f t="shared" si="7"/>
        <v>2</v>
      </c>
      <c r="X112" s="1"/>
      <c r="Y112" s="16"/>
      <c r="Z112" s="1"/>
      <c r="AF112" s="2">
        <f t="shared" si="8"/>
        <v>6</v>
      </c>
    </row>
    <row r="113" spans="2:32" ht="15" customHeight="1" x14ac:dyDescent="0.15">
      <c r="B113" s="11" t="str">
        <f t="shared" si="9"/>
        <v>80L_RXH</v>
      </c>
      <c r="C113" s="1" t="s">
        <v>913</v>
      </c>
      <c r="D113" s="1" t="s">
        <v>834</v>
      </c>
      <c r="E113" s="2" t="s">
        <v>914</v>
      </c>
      <c r="F113" s="1" t="s">
        <v>837</v>
      </c>
      <c r="G113" s="1" t="s">
        <v>750</v>
      </c>
      <c r="H113" s="1" t="s">
        <v>282</v>
      </c>
      <c r="I113" s="1" t="s">
        <v>838</v>
      </c>
      <c r="J113" s="1" t="s">
        <v>839</v>
      </c>
      <c r="K113" s="1" t="s">
        <v>915</v>
      </c>
      <c r="L113" s="1" t="s">
        <v>841</v>
      </c>
      <c r="M113" s="1" t="s">
        <v>296</v>
      </c>
      <c r="O113" s="1">
        <v>80</v>
      </c>
      <c r="P113" s="1">
        <v>1250</v>
      </c>
      <c r="Q113" s="1" t="s">
        <v>941</v>
      </c>
      <c r="R113" s="1">
        <v>4</v>
      </c>
      <c r="S113" s="1">
        <v>5</v>
      </c>
      <c r="T113" s="1">
        <v>5</v>
      </c>
      <c r="U113" s="1">
        <v>15</v>
      </c>
      <c r="V113" s="1">
        <f t="shared" si="6"/>
        <v>6</v>
      </c>
      <c r="W113" s="1">
        <f t="shared" si="7"/>
        <v>3</v>
      </c>
      <c r="X113" s="1"/>
      <c r="Y113" s="16"/>
      <c r="Z113" s="1"/>
      <c r="AF113" s="2">
        <f t="shared" si="8"/>
        <v>6</v>
      </c>
    </row>
    <row r="114" spans="2:32" ht="15" customHeight="1" x14ac:dyDescent="0.15">
      <c r="B114" s="11" t="str">
        <f t="shared" si="9"/>
        <v>80L_WPG</v>
      </c>
      <c r="C114" s="1" t="s">
        <v>916</v>
      </c>
      <c r="D114" s="1" t="s">
        <v>746</v>
      </c>
      <c r="E114" s="2" t="s">
        <v>917</v>
      </c>
      <c r="F114" s="1" t="s">
        <v>844</v>
      </c>
      <c r="G114" s="1" t="s">
        <v>829</v>
      </c>
      <c r="H114" s="1" t="s">
        <v>280</v>
      </c>
      <c r="I114" s="1" t="s">
        <v>751</v>
      </c>
      <c r="J114" s="1" t="s">
        <v>748</v>
      </c>
      <c r="K114" s="1" t="s">
        <v>912</v>
      </c>
      <c r="L114" s="1" t="s">
        <v>831</v>
      </c>
      <c r="M114" s="1" t="s">
        <v>296</v>
      </c>
      <c r="O114" s="1">
        <v>80</v>
      </c>
      <c r="P114" s="1">
        <v>1250</v>
      </c>
      <c r="Q114" s="1" t="s">
        <v>942</v>
      </c>
      <c r="R114" s="1">
        <v>3</v>
      </c>
      <c r="S114" s="1">
        <v>5</v>
      </c>
      <c r="T114" s="1">
        <v>12</v>
      </c>
      <c r="U114" s="1" t="s">
        <v>40</v>
      </c>
      <c r="V114" s="1">
        <f t="shared" si="6"/>
        <v>7</v>
      </c>
      <c r="W114" s="1">
        <f t="shared" si="7"/>
        <v>1</v>
      </c>
      <c r="X114" s="1"/>
      <c r="Y114" s="16"/>
      <c r="Z114" s="1"/>
      <c r="AF114" s="2">
        <f t="shared" si="8"/>
        <v>7</v>
      </c>
    </row>
    <row r="115" spans="2:32" ht="15" customHeight="1" x14ac:dyDescent="0.15">
      <c r="B115" s="11" t="str">
        <f t="shared" si="9"/>
        <v>80L_WXG</v>
      </c>
      <c r="C115" s="1" t="s">
        <v>916</v>
      </c>
      <c r="D115" s="1" t="s">
        <v>833</v>
      </c>
      <c r="E115" s="2" t="s">
        <v>917</v>
      </c>
      <c r="F115" s="1" t="s">
        <v>844</v>
      </c>
      <c r="G115" s="1" t="s">
        <v>750</v>
      </c>
      <c r="H115" s="1" t="s">
        <v>280</v>
      </c>
      <c r="I115" s="1" t="s">
        <v>751</v>
      </c>
      <c r="J115" s="1" t="s">
        <v>748</v>
      </c>
      <c r="K115" s="1" t="s">
        <v>912</v>
      </c>
      <c r="L115" s="1" t="s">
        <v>831</v>
      </c>
      <c r="M115" s="1" t="s">
        <v>296</v>
      </c>
      <c r="O115" s="1">
        <v>80</v>
      </c>
      <c r="P115" s="1">
        <v>1250</v>
      </c>
      <c r="Q115" s="1" t="s">
        <v>942</v>
      </c>
      <c r="R115" s="1">
        <v>4</v>
      </c>
      <c r="S115" s="1">
        <v>5</v>
      </c>
      <c r="T115" s="1">
        <v>12</v>
      </c>
      <c r="U115" s="1" t="s">
        <v>40</v>
      </c>
      <c r="V115" s="1">
        <f t="shared" si="6"/>
        <v>7</v>
      </c>
      <c r="W115" s="1">
        <f t="shared" si="7"/>
        <v>2</v>
      </c>
      <c r="X115" s="1"/>
      <c r="Y115" s="16"/>
      <c r="Z115" s="1"/>
      <c r="AF115" s="2">
        <f t="shared" si="8"/>
        <v>7</v>
      </c>
    </row>
    <row r="116" spans="2:32" ht="15" customHeight="1" x14ac:dyDescent="0.15">
      <c r="B116" s="11" t="str">
        <f t="shared" si="9"/>
        <v>80L_WXH</v>
      </c>
      <c r="C116" s="1" t="s">
        <v>916</v>
      </c>
      <c r="D116" s="1" t="s">
        <v>834</v>
      </c>
      <c r="E116" s="2" t="s">
        <v>917</v>
      </c>
      <c r="F116" s="1" t="s">
        <v>844</v>
      </c>
      <c r="G116" s="1" t="s">
        <v>750</v>
      </c>
      <c r="H116" s="1" t="s">
        <v>282</v>
      </c>
      <c r="I116" s="1" t="s">
        <v>751</v>
      </c>
      <c r="J116" s="1" t="s">
        <v>748</v>
      </c>
      <c r="K116" s="1" t="s">
        <v>912</v>
      </c>
      <c r="L116" s="1" t="s">
        <v>831</v>
      </c>
      <c r="M116" s="1" t="s">
        <v>296</v>
      </c>
      <c r="O116" s="1">
        <v>80</v>
      </c>
      <c r="P116" s="1">
        <v>1250</v>
      </c>
      <c r="Q116" s="1" t="s">
        <v>942</v>
      </c>
      <c r="R116" s="1">
        <v>4</v>
      </c>
      <c r="S116" s="1">
        <v>5</v>
      </c>
      <c r="T116" s="1">
        <v>12</v>
      </c>
      <c r="U116" s="1" t="s">
        <v>40</v>
      </c>
      <c r="V116" s="1">
        <f t="shared" si="6"/>
        <v>7</v>
      </c>
      <c r="W116" s="1">
        <f t="shared" si="7"/>
        <v>3</v>
      </c>
      <c r="X116" s="1"/>
      <c r="Y116" s="16"/>
      <c r="Z116" s="1"/>
      <c r="AF116" s="2">
        <f t="shared" si="8"/>
        <v>7</v>
      </c>
    </row>
    <row r="117" spans="2:32" ht="15" customHeight="1" x14ac:dyDescent="0.15">
      <c r="B117" s="11" t="str">
        <f t="shared" si="9"/>
        <v>80L_DPG</v>
      </c>
      <c r="C117" s="1" t="s">
        <v>918</v>
      </c>
      <c r="D117" s="1" t="s">
        <v>746</v>
      </c>
      <c r="E117" s="2" t="s">
        <v>919</v>
      </c>
      <c r="F117" s="1" t="s">
        <v>99</v>
      </c>
      <c r="G117" s="1" t="s">
        <v>829</v>
      </c>
      <c r="H117" s="1" t="s">
        <v>280</v>
      </c>
      <c r="I117" s="1" t="s">
        <v>72</v>
      </c>
      <c r="J117" s="1" t="s">
        <v>748</v>
      </c>
      <c r="K117" s="1" t="s">
        <v>920</v>
      </c>
      <c r="L117" s="1" t="s">
        <v>831</v>
      </c>
      <c r="M117" s="1" t="s">
        <v>296</v>
      </c>
      <c r="O117" s="1">
        <v>80</v>
      </c>
      <c r="P117" s="1">
        <v>1250</v>
      </c>
      <c r="Q117" s="1" t="s">
        <v>99</v>
      </c>
      <c r="R117" s="1">
        <v>3</v>
      </c>
      <c r="S117" s="1">
        <v>5</v>
      </c>
      <c r="T117" s="1">
        <v>8</v>
      </c>
      <c r="U117" s="1" t="s">
        <v>40</v>
      </c>
      <c r="V117" s="1">
        <f t="shared" si="6"/>
        <v>5</v>
      </c>
      <c r="W117" s="1">
        <f t="shared" si="7"/>
        <v>1</v>
      </c>
      <c r="X117" s="1"/>
      <c r="Y117" s="16"/>
      <c r="Z117" s="1"/>
      <c r="AF117" s="2">
        <f t="shared" si="8"/>
        <v>5</v>
      </c>
    </row>
    <row r="118" spans="2:32" ht="15" customHeight="1" x14ac:dyDescent="0.15">
      <c r="B118" s="11" t="str">
        <f t="shared" si="9"/>
        <v>80L_DXG</v>
      </c>
      <c r="C118" s="1" t="s">
        <v>918</v>
      </c>
      <c r="D118" s="1" t="s">
        <v>833</v>
      </c>
      <c r="E118" s="2" t="s">
        <v>919</v>
      </c>
      <c r="F118" s="1" t="s">
        <v>99</v>
      </c>
      <c r="G118" s="1" t="s">
        <v>750</v>
      </c>
      <c r="H118" s="1" t="s">
        <v>280</v>
      </c>
      <c r="I118" s="1" t="s">
        <v>72</v>
      </c>
      <c r="J118" s="1" t="s">
        <v>748</v>
      </c>
      <c r="K118" s="1" t="s">
        <v>920</v>
      </c>
      <c r="L118" s="1" t="s">
        <v>831</v>
      </c>
      <c r="M118" s="1" t="s">
        <v>296</v>
      </c>
      <c r="O118" s="1">
        <v>80</v>
      </c>
      <c r="P118" s="1">
        <v>1250</v>
      </c>
      <c r="Q118" s="1" t="s">
        <v>99</v>
      </c>
      <c r="R118" s="1">
        <v>4</v>
      </c>
      <c r="S118" s="1">
        <v>5</v>
      </c>
      <c r="T118" s="1">
        <v>8</v>
      </c>
      <c r="U118" s="1" t="s">
        <v>40</v>
      </c>
      <c r="V118" s="1">
        <f t="shared" si="6"/>
        <v>5</v>
      </c>
      <c r="W118" s="1">
        <f t="shared" si="7"/>
        <v>2</v>
      </c>
      <c r="X118" s="1"/>
      <c r="Y118" s="16"/>
      <c r="Z118" s="1"/>
      <c r="AF118" s="2">
        <f t="shared" si="8"/>
        <v>5</v>
      </c>
    </row>
    <row r="119" spans="2:32" ht="15" customHeight="1" x14ac:dyDescent="0.15">
      <c r="B119" s="11" t="str">
        <f t="shared" si="9"/>
        <v>80L_DXH</v>
      </c>
      <c r="C119" s="1" t="s">
        <v>918</v>
      </c>
      <c r="D119" s="1" t="s">
        <v>834</v>
      </c>
      <c r="E119" s="2" t="s">
        <v>919</v>
      </c>
      <c r="F119" s="1" t="s">
        <v>99</v>
      </c>
      <c r="G119" s="1" t="s">
        <v>750</v>
      </c>
      <c r="H119" s="1" t="s">
        <v>282</v>
      </c>
      <c r="I119" s="1" t="s">
        <v>72</v>
      </c>
      <c r="J119" s="1" t="s">
        <v>748</v>
      </c>
      <c r="K119" s="1" t="s">
        <v>920</v>
      </c>
      <c r="L119" s="1" t="s">
        <v>831</v>
      </c>
      <c r="M119" s="1" t="s">
        <v>296</v>
      </c>
      <c r="O119" s="1">
        <v>80</v>
      </c>
      <c r="P119" s="1">
        <v>1250</v>
      </c>
      <c r="Q119" s="1" t="s">
        <v>99</v>
      </c>
      <c r="R119" s="1">
        <v>4</v>
      </c>
      <c r="S119" s="1">
        <v>5</v>
      </c>
      <c r="T119" s="1">
        <v>8</v>
      </c>
      <c r="U119" s="1" t="s">
        <v>40</v>
      </c>
      <c r="V119" s="1">
        <f t="shared" si="6"/>
        <v>5</v>
      </c>
      <c r="W119" s="1">
        <f t="shared" si="7"/>
        <v>3</v>
      </c>
      <c r="X119" s="1"/>
      <c r="Y119" s="16"/>
      <c r="Z119" s="1"/>
      <c r="AF119" s="2">
        <f t="shared" si="8"/>
        <v>5</v>
      </c>
    </row>
    <row r="120" spans="2:32" ht="15" customHeight="1" x14ac:dyDescent="0.15">
      <c r="B120" s="11" t="str">
        <f t="shared" si="9"/>
        <v>80L_SPG</v>
      </c>
      <c r="C120" s="1" t="s">
        <v>913</v>
      </c>
      <c r="D120" s="1" t="s">
        <v>746</v>
      </c>
      <c r="E120" s="2" t="s">
        <v>914</v>
      </c>
      <c r="F120" s="1" t="s">
        <v>850</v>
      </c>
      <c r="G120" s="1" t="s">
        <v>829</v>
      </c>
      <c r="H120" s="1" t="s">
        <v>280</v>
      </c>
      <c r="I120" s="1" t="s">
        <v>838</v>
      </c>
      <c r="J120" s="1" t="s">
        <v>839</v>
      </c>
      <c r="K120" s="1" t="s">
        <v>915</v>
      </c>
      <c r="L120" s="1" t="s">
        <v>841</v>
      </c>
      <c r="M120" s="1" t="s">
        <v>296</v>
      </c>
      <c r="O120" s="1">
        <v>80</v>
      </c>
      <c r="P120" s="1">
        <v>1250</v>
      </c>
      <c r="Q120" s="1" t="s">
        <v>941</v>
      </c>
      <c r="R120" s="1">
        <v>3</v>
      </c>
      <c r="S120" s="1">
        <v>5</v>
      </c>
      <c r="T120" s="1">
        <v>5</v>
      </c>
      <c r="U120" s="1">
        <v>15</v>
      </c>
      <c r="V120" s="1">
        <f t="shared" si="6"/>
        <v>6</v>
      </c>
      <c r="W120" s="1">
        <f t="shared" si="7"/>
        <v>1</v>
      </c>
      <c r="X120" s="1"/>
      <c r="Y120" s="16"/>
      <c r="Z120" s="1"/>
      <c r="AF120" s="2">
        <f t="shared" si="8"/>
        <v>6</v>
      </c>
    </row>
    <row r="121" spans="2:32" ht="15" customHeight="1" x14ac:dyDescent="0.15">
      <c r="B121" s="11" t="str">
        <f t="shared" si="9"/>
        <v>80L_SXG</v>
      </c>
      <c r="C121" s="1" t="s">
        <v>913</v>
      </c>
      <c r="D121" s="1" t="s">
        <v>833</v>
      </c>
      <c r="E121" s="2" t="s">
        <v>914</v>
      </c>
      <c r="F121" s="1" t="s">
        <v>850</v>
      </c>
      <c r="G121" s="1" t="s">
        <v>750</v>
      </c>
      <c r="H121" s="1" t="s">
        <v>280</v>
      </c>
      <c r="I121" s="1" t="s">
        <v>838</v>
      </c>
      <c r="J121" s="1" t="s">
        <v>839</v>
      </c>
      <c r="K121" s="1" t="s">
        <v>915</v>
      </c>
      <c r="L121" s="1" t="s">
        <v>841</v>
      </c>
      <c r="M121" s="1" t="s">
        <v>296</v>
      </c>
      <c r="O121" s="1">
        <v>80</v>
      </c>
      <c r="P121" s="1">
        <v>1250</v>
      </c>
      <c r="Q121" s="1" t="s">
        <v>941</v>
      </c>
      <c r="R121" s="1">
        <v>4</v>
      </c>
      <c r="S121" s="1">
        <v>5</v>
      </c>
      <c r="T121" s="1">
        <v>5</v>
      </c>
      <c r="U121" s="1">
        <v>15</v>
      </c>
      <c r="V121" s="1">
        <f t="shared" si="6"/>
        <v>6</v>
      </c>
      <c r="W121" s="1">
        <f t="shared" si="7"/>
        <v>2</v>
      </c>
      <c r="X121" s="1"/>
      <c r="Y121" s="16"/>
      <c r="Z121" s="1"/>
      <c r="AF121" s="2">
        <f t="shared" si="8"/>
        <v>6</v>
      </c>
    </row>
    <row r="122" spans="2:32" ht="15" customHeight="1" x14ac:dyDescent="0.15">
      <c r="B122" s="11" t="str">
        <f t="shared" si="9"/>
        <v>80L_SXH</v>
      </c>
      <c r="C122" s="1" t="s">
        <v>913</v>
      </c>
      <c r="D122" s="1" t="s">
        <v>834</v>
      </c>
      <c r="E122" s="2" t="s">
        <v>914</v>
      </c>
      <c r="F122" s="1" t="s">
        <v>850</v>
      </c>
      <c r="G122" s="1" t="s">
        <v>750</v>
      </c>
      <c r="H122" s="1" t="s">
        <v>282</v>
      </c>
      <c r="I122" s="1" t="s">
        <v>838</v>
      </c>
      <c r="J122" s="1" t="s">
        <v>839</v>
      </c>
      <c r="K122" s="1" t="s">
        <v>915</v>
      </c>
      <c r="L122" s="1" t="s">
        <v>841</v>
      </c>
      <c r="M122" s="1" t="s">
        <v>296</v>
      </c>
      <c r="O122" s="1">
        <v>80</v>
      </c>
      <c r="P122" s="1">
        <v>1250</v>
      </c>
      <c r="Q122" s="1" t="s">
        <v>941</v>
      </c>
      <c r="R122" s="1">
        <v>4</v>
      </c>
      <c r="S122" s="1">
        <v>5</v>
      </c>
      <c r="T122" s="1">
        <v>5</v>
      </c>
      <c r="U122" s="1">
        <v>15</v>
      </c>
      <c r="V122" s="1">
        <f t="shared" si="6"/>
        <v>6</v>
      </c>
      <c r="W122" s="1">
        <f t="shared" si="7"/>
        <v>3</v>
      </c>
      <c r="X122" s="1"/>
      <c r="Y122" s="16"/>
      <c r="Z122" s="1"/>
      <c r="AF122" s="2">
        <f t="shared" si="8"/>
        <v>6</v>
      </c>
    </row>
    <row r="123" spans="2:32" ht="15" customHeight="1" x14ac:dyDescent="0.15">
      <c r="B123" s="11" t="str">
        <f t="shared" ref="B123:B134" si="10">CONCATENATE($O123,VLOOKUP(P123,cat,2,FALSE),"_",VLOOKUP(F123,mat,2,FALSE),VLOOKUP(G123,cop,2,FALSE),VLOOKUP(H123,chg,2,FALSE))</f>
        <v>19N_CPF</v>
      </c>
      <c r="C123" s="1" t="s">
        <v>1744</v>
      </c>
      <c r="D123" s="1" t="s">
        <v>746</v>
      </c>
      <c r="E123" s="2" t="s">
        <v>1745</v>
      </c>
      <c r="F123" s="1" t="s">
        <v>828</v>
      </c>
      <c r="G123" s="1" t="s">
        <v>829</v>
      </c>
      <c r="H123" s="1" t="s">
        <v>1746</v>
      </c>
      <c r="I123" s="1" t="s">
        <v>72</v>
      </c>
      <c r="J123" s="1" t="s">
        <v>748</v>
      </c>
      <c r="K123" s="1" t="s">
        <v>1747</v>
      </c>
      <c r="L123" s="1" t="s">
        <v>1748</v>
      </c>
      <c r="M123" s="1" t="s">
        <v>296</v>
      </c>
      <c r="O123" s="1">
        <v>19</v>
      </c>
      <c r="P123" s="1">
        <v>750</v>
      </c>
      <c r="Q123" s="1" t="s">
        <v>832</v>
      </c>
      <c r="R123" s="1">
        <v>3</v>
      </c>
      <c r="S123" s="1">
        <v>4</v>
      </c>
      <c r="T123" s="1">
        <v>8</v>
      </c>
      <c r="U123" s="1" t="s">
        <v>40</v>
      </c>
      <c r="V123" s="1">
        <f t="shared" si="6"/>
        <v>5</v>
      </c>
      <c r="W123" s="1">
        <f t="shared" ref="W123:W134" si="11">IF(AND(G123="S355",OR(H123="50x10",H123="60x12")),1,IF(AND(G123="AISI 304",OR(H123="50x10",H123="60x12")),2,IF(AND(G123="AISI 304",H123="60x20"),3,"-")))</f>
        <v>1</v>
      </c>
      <c r="X123" s="81" t="s">
        <v>259</v>
      </c>
      <c r="Y123" s="16"/>
      <c r="Z123" s="1">
        <v>20230506</v>
      </c>
      <c r="AF123" s="2">
        <f t="shared" si="8"/>
        <v>5</v>
      </c>
    </row>
    <row r="124" spans="2:32" ht="15" customHeight="1" x14ac:dyDescent="0.15">
      <c r="B124" s="11" t="str">
        <f t="shared" si="10"/>
        <v>19N_CXF</v>
      </c>
      <c r="C124" s="1" t="s">
        <v>1744</v>
      </c>
      <c r="D124" s="1" t="s">
        <v>833</v>
      </c>
      <c r="E124" s="2" t="s">
        <v>1745</v>
      </c>
      <c r="F124" s="1" t="s">
        <v>828</v>
      </c>
      <c r="G124" s="1" t="s">
        <v>750</v>
      </c>
      <c r="H124" s="1" t="s">
        <v>1746</v>
      </c>
      <c r="I124" s="1" t="s">
        <v>72</v>
      </c>
      <c r="J124" s="1" t="s">
        <v>748</v>
      </c>
      <c r="K124" s="1" t="s">
        <v>1747</v>
      </c>
      <c r="L124" s="1" t="s">
        <v>1748</v>
      </c>
      <c r="M124" s="1" t="s">
        <v>296</v>
      </c>
      <c r="O124" s="1">
        <v>19</v>
      </c>
      <c r="P124" s="1">
        <v>750</v>
      </c>
      <c r="Q124" s="1" t="s">
        <v>832</v>
      </c>
      <c r="R124" s="1">
        <v>4</v>
      </c>
      <c r="S124" s="1">
        <v>4</v>
      </c>
      <c r="T124" s="1">
        <v>8</v>
      </c>
      <c r="U124" s="1" t="s">
        <v>40</v>
      </c>
      <c r="V124" s="1">
        <f t="shared" si="6"/>
        <v>5</v>
      </c>
      <c r="W124" s="1">
        <f t="shared" si="11"/>
        <v>2</v>
      </c>
      <c r="X124" s="81" t="s">
        <v>259</v>
      </c>
      <c r="Y124" s="16"/>
      <c r="Z124" s="1">
        <v>20230506</v>
      </c>
      <c r="AF124" s="2">
        <f t="shared" si="8"/>
        <v>5</v>
      </c>
    </row>
    <row r="125" spans="2:32" ht="15" customHeight="1" x14ac:dyDescent="0.15">
      <c r="B125" s="11" t="str">
        <f t="shared" si="10"/>
        <v>19N_WPF</v>
      </c>
      <c r="C125" s="1" t="s">
        <v>1749</v>
      </c>
      <c r="D125" s="1" t="s">
        <v>746</v>
      </c>
      <c r="E125" s="2" t="s">
        <v>1745</v>
      </c>
      <c r="F125" s="1" t="s">
        <v>844</v>
      </c>
      <c r="G125" s="1" t="s">
        <v>829</v>
      </c>
      <c r="H125" s="1" t="s">
        <v>1746</v>
      </c>
      <c r="I125" s="1" t="s">
        <v>72</v>
      </c>
      <c r="J125" s="1" t="s">
        <v>748</v>
      </c>
      <c r="K125" s="1" t="s">
        <v>1747</v>
      </c>
      <c r="L125" s="1" t="s">
        <v>1748</v>
      </c>
      <c r="M125" s="1" t="s">
        <v>296</v>
      </c>
      <c r="O125" s="1">
        <v>19</v>
      </c>
      <c r="P125" s="1">
        <v>750</v>
      </c>
      <c r="Q125" s="1" t="s">
        <v>832</v>
      </c>
      <c r="R125" s="1">
        <v>3</v>
      </c>
      <c r="S125" s="1">
        <v>4</v>
      </c>
      <c r="T125" s="1">
        <v>12</v>
      </c>
      <c r="U125" s="1" t="s">
        <v>40</v>
      </c>
      <c r="V125" s="1">
        <f t="shared" si="6"/>
        <v>5</v>
      </c>
      <c r="W125" s="1">
        <f t="shared" si="11"/>
        <v>1</v>
      </c>
      <c r="X125" s="81" t="s">
        <v>259</v>
      </c>
      <c r="Y125" s="16"/>
      <c r="Z125" s="1">
        <v>20230506</v>
      </c>
      <c r="AF125" s="2">
        <f t="shared" si="8"/>
        <v>5</v>
      </c>
    </row>
    <row r="126" spans="2:32" ht="15" customHeight="1" x14ac:dyDescent="0.15">
      <c r="B126" s="11" t="str">
        <f t="shared" si="10"/>
        <v>19N_WXF</v>
      </c>
      <c r="C126" s="1" t="s">
        <v>1749</v>
      </c>
      <c r="D126" s="1" t="s">
        <v>833</v>
      </c>
      <c r="E126" s="2" t="s">
        <v>1753</v>
      </c>
      <c r="F126" s="1" t="s">
        <v>844</v>
      </c>
      <c r="G126" s="1" t="s">
        <v>750</v>
      </c>
      <c r="H126" s="1" t="s">
        <v>1746</v>
      </c>
      <c r="I126" s="1" t="s">
        <v>72</v>
      </c>
      <c r="J126" s="1" t="s">
        <v>748</v>
      </c>
      <c r="K126" s="1" t="s">
        <v>1747</v>
      </c>
      <c r="L126" s="1" t="s">
        <v>1748</v>
      </c>
      <c r="M126" s="1" t="s">
        <v>296</v>
      </c>
      <c r="O126" s="1">
        <v>19</v>
      </c>
      <c r="P126" s="1">
        <v>750</v>
      </c>
      <c r="Q126" s="1" t="s">
        <v>832</v>
      </c>
      <c r="R126" s="1">
        <v>4</v>
      </c>
      <c r="S126" s="1">
        <v>4</v>
      </c>
      <c r="T126" s="1">
        <v>12</v>
      </c>
      <c r="U126" s="1" t="s">
        <v>40</v>
      </c>
      <c r="V126" s="1">
        <f t="shared" si="6"/>
        <v>5</v>
      </c>
      <c r="W126" s="1">
        <f t="shared" si="11"/>
        <v>2</v>
      </c>
      <c r="X126" s="81" t="s">
        <v>259</v>
      </c>
      <c r="Y126" s="16"/>
      <c r="Z126" s="1">
        <v>20230506</v>
      </c>
      <c r="AF126" s="2">
        <f t="shared" si="8"/>
        <v>5</v>
      </c>
    </row>
    <row r="127" spans="2:32" ht="15" customHeight="1" x14ac:dyDescent="0.15">
      <c r="B127" s="11" t="str">
        <f t="shared" si="10"/>
        <v>19N_RPF</v>
      </c>
      <c r="C127" s="1" t="s">
        <v>1750</v>
      </c>
      <c r="D127" s="1" t="s">
        <v>746</v>
      </c>
      <c r="E127" s="2" t="s">
        <v>1753</v>
      </c>
      <c r="F127" s="1" t="s">
        <v>837</v>
      </c>
      <c r="G127" s="1" t="s">
        <v>829</v>
      </c>
      <c r="H127" s="1" t="s">
        <v>1746</v>
      </c>
      <c r="I127" s="1" t="s">
        <v>838</v>
      </c>
      <c r="J127" s="1" t="s">
        <v>839</v>
      </c>
      <c r="K127" s="1" t="s">
        <v>1751</v>
      </c>
      <c r="L127" s="1" t="s">
        <v>1748</v>
      </c>
      <c r="M127" s="1" t="s">
        <v>296</v>
      </c>
      <c r="O127" s="1">
        <v>19</v>
      </c>
      <c r="P127" s="1">
        <v>750</v>
      </c>
      <c r="Q127" s="1" t="s">
        <v>940</v>
      </c>
      <c r="R127" s="1">
        <v>3</v>
      </c>
      <c r="S127" s="1">
        <v>4</v>
      </c>
      <c r="T127" s="1">
        <v>4</v>
      </c>
      <c r="U127" s="1">
        <v>15</v>
      </c>
      <c r="V127" s="1">
        <f t="shared" si="6"/>
        <v>6</v>
      </c>
      <c r="W127" s="1">
        <f t="shared" si="11"/>
        <v>1</v>
      </c>
      <c r="X127" s="81" t="s">
        <v>259</v>
      </c>
      <c r="Y127" s="16"/>
      <c r="Z127" s="1">
        <v>20230506</v>
      </c>
      <c r="AF127" s="2">
        <f t="shared" si="8"/>
        <v>6</v>
      </c>
    </row>
    <row r="128" spans="2:32" ht="15" customHeight="1" x14ac:dyDescent="0.15">
      <c r="B128" s="11" t="str">
        <f t="shared" si="10"/>
        <v>19N_RXF</v>
      </c>
      <c r="C128" s="1" t="s">
        <v>1750</v>
      </c>
      <c r="D128" s="1" t="s">
        <v>833</v>
      </c>
      <c r="E128" s="2" t="s">
        <v>1754</v>
      </c>
      <c r="F128" s="1" t="s">
        <v>837</v>
      </c>
      <c r="G128" s="1" t="s">
        <v>750</v>
      </c>
      <c r="H128" s="1" t="s">
        <v>1746</v>
      </c>
      <c r="I128" s="1" t="s">
        <v>838</v>
      </c>
      <c r="J128" s="1" t="s">
        <v>839</v>
      </c>
      <c r="K128" s="1" t="s">
        <v>1751</v>
      </c>
      <c r="L128" s="1" t="s">
        <v>1748</v>
      </c>
      <c r="M128" s="1" t="s">
        <v>296</v>
      </c>
      <c r="O128" s="1">
        <v>19</v>
      </c>
      <c r="P128" s="1">
        <v>750</v>
      </c>
      <c r="Q128" s="1" t="s">
        <v>940</v>
      </c>
      <c r="R128" s="1">
        <v>4</v>
      </c>
      <c r="S128" s="1">
        <v>4</v>
      </c>
      <c r="T128" s="1">
        <v>4</v>
      </c>
      <c r="U128" s="1">
        <v>15</v>
      </c>
      <c r="V128" s="1">
        <f t="shared" si="6"/>
        <v>6</v>
      </c>
      <c r="W128" s="1">
        <f t="shared" si="11"/>
        <v>2</v>
      </c>
      <c r="X128" s="81" t="s">
        <v>259</v>
      </c>
      <c r="Y128" s="16"/>
      <c r="Z128" s="1">
        <v>20230506</v>
      </c>
      <c r="AF128" s="2">
        <f t="shared" si="8"/>
        <v>6</v>
      </c>
    </row>
    <row r="129" spans="1:42" ht="15" customHeight="1" x14ac:dyDescent="0.15">
      <c r="B129" s="11" t="str">
        <f t="shared" si="10"/>
        <v>19N_CPF</v>
      </c>
      <c r="C129" s="1" t="s">
        <v>1752</v>
      </c>
      <c r="D129" s="1" t="s">
        <v>746</v>
      </c>
      <c r="E129" s="2" t="s">
        <v>1754</v>
      </c>
      <c r="F129" s="1" t="s">
        <v>828</v>
      </c>
      <c r="G129" s="1" t="s">
        <v>829</v>
      </c>
      <c r="H129" s="1" t="s">
        <v>1746</v>
      </c>
      <c r="I129" s="1" t="s">
        <v>72</v>
      </c>
      <c r="J129" s="1" t="s">
        <v>748</v>
      </c>
      <c r="K129" s="1" t="s">
        <v>1747</v>
      </c>
      <c r="L129" s="1" t="s">
        <v>1748</v>
      </c>
      <c r="M129" s="1" t="s">
        <v>296</v>
      </c>
      <c r="O129" s="1">
        <v>19</v>
      </c>
      <c r="P129" s="1">
        <v>750</v>
      </c>
      <c r="Q129" s="1" t="s">
        <v>832</v>
      </c>
      <c r="R129" s="1">
        <v>3</v>
      </c>
      <c r="S129" s="1">
        <v>4</v>
      </c>
      <c r="T129" s="1">
        <v>8</v>
      </c>
      <c r="U129" s="1" t="s">
        <v>40</v>
      </c>
      <c r="V129" s="1">
        <f t="shared" si="6"/>
        <v>5</v>
      </c>
      <c r="W129" s="1">
        <f t="shared" si="11"/>
        <v>1</v>
      </c>
      <c r="X129" s="81" t="s">
        <v>1756</v>
      </c>
      <c r="Y129" s="16"/>
      <c r="Z129" s="1">
        <v>20230506</v>
      </c>
      <c r="AF129" s="2">
        <f t="shared" si="8"/>
        <v>5</v>
      </c>
    </row>
    <row r="130" spans="1:42" ht="15" customHeight="1" x14ac:dyDescent="0.15">
      <c r="B130" s="11" t="str">
        <f t="shared" si="10"/>
        <v>19N_CXF</v>
      </c>
      <c r="C130" s="1" t="s">
        <v>1752</v>
      </c>
      <c r="D130" s="1" t="s">
        <v>833</v>
      </c>
      <c r="E130" s="2" t="s">
        <v>1755</v>
      </c>
      <c r="F130" s="1" t="s">
        <v>828</v>
      </c>
      <c r="G130" s="1" t="s">
        <v>750</v>
      </c>
      <c r="H130" s="1" t="s">
        <v>1746</v>
      </c>
      <c r="I130" s="1" t="s">
        <v>72</v>
      </c>
      <c r="J130" s="1" t="s">
        <v>748</v>
      </c>
      <c r="K130" s="1" t="s">
        <v>1747</v>
      </c>
      <c r="L130" s="1" t="s">
        <v>1748</v>
      </c>
      <c r="M130" s="1" t="s">
        <v>296</v>
      </c>
      <c r="O130" s="1">
        <v>19</v>
      </c>
      <c r="P130" s="1">
        <v>750</v>
      </c>
      <c r="Q130" s="1" t="s">
        <v>832</v>
      </c>
      <c r="R130" s="1">
        <v>4</v>
      </c>
      <c r="S130" s="1">
        <v>4</v>
      </c>
      <c r="T130" s="1">
        <v>8</v>
      </c>
      <c r="U130" s="1" t="s">
        <v>40</v>
      </c>
      <c r="V130" s="1">
        <f t="shared" si="6"/>
        <v>5</v>
      </c>
      <c r="W130" s="1">
        <f t="shared" si="11"/>
        <v>2</v>
      </c>
      <c r="X130" s="81" t="s">
        <v>1756</v>
      </c>
      <c r="Y130" s="16"/>
      <c r="Z130" s="1">
        <v>20230506</v>
      </c>
      <c r="AF130" s="2">
        <f t="shared" si="8"/>
        <v>5</v>
      </c>
    </row>
    <row r="131" spans="1:42" ht="15" customHeight="1" x14ac:dyDescent="0.15">
      <c r="B131" s="11" t="str">
        <f t="shared" si="10"/>
        <v>19N_WPF</v>
      </c>
      <c r="C131" s="1" t="s">
        <v>1749</v>
      </c>
      <c r="D131" s="1" t="s">
        <v>746</v>
      </c>
      <c r="E131" s="2" t="s">
        <v>1745</v>
      </c>
      <c r="F131" s="1" t="s">
        <v>844</v>
      </c>
      <c r="G131" s="1" t="s">
        <v>829</v>
      </c>
      <c r="H131" s="1" t="s">
        <v>1746</v>
      </c>
      <c r="I131" s="1" t="s">
        <v>72</v>
      </c>
      <c r="J131" s="1" t="s">
        <v>748</v>
      </c>
      <c r="K131" s="1" t="s">
        <v>1747</v>
      </c>
      <c r="L131" s="1" t="s">
        <v>1748</v>
      </c>
      <c r="M131" s="1" t="s">
        <v>296</v>
      </c>
      <c r="O131" s="1">
        <v>19</v>
      </c>
      <c r="P131" s="1">
        <v>750</v>
      </c>
      <c r="Q131" s="1" t="s">
        <v>832</v>
      </c>
      <c r="R131" s="1">
        <v>3</v>
      </c>
      <c r="S131" s="1">
        <v>4</v>
      </c>
      <c r="T131" s="1">
        <v>12</v>
      </c>
      <c r="U131" s="1" t="s">
        <v>40</v>
      </c>
      <c r="V131" s="1">
        <f t="shared" si="6"/>
        <v>5</v>
      </c>
      <c r="W131" s="1">
        <f t="shared" si="11"/>
        <v>1</v>
      </c>
      <c r="X131" s="81" t="s">
        <v>1756</v>
      </c>
      <c r="Y131" s="16"/>
      <c r="Z131" s="1">
        <v>20230506</v>
      </c>
      <c r="AF131" s="2">
        <f t="shared" si="8"/>
        <v>5</v>
      </c>
    </row>
    <row r="132" spans="1:42" ht="15" customHeight="1" x14ac:dyDescent="0.15">
      <c r="B132" s="11" t="str">
        <f t="shared" si="10"/>
        <v>19N_WXF</v>
      </c>
      <c r="C132" s="1" t="s">
        <v>1749</v>
      </c>
      <c r="D132" s="1" t="s">
        <v>833</v>
      </c>
      <c r="E132" s="2" t="s">
        <v>1753</v>
      </c>
      <c r="F132" s="1" t="s">
        <v>844</v>
      </c>
      <c r="G132" s="1" t="s">
        <v>750</v>
      </c>
      <c r="H132" s="1" t="s">
        <v>1746</v>
      </c>
      <c r="I132" s="1" t="s">
        <v>72</v>
      </c>
      <c r="J132" s="1" t="s">
        <v>748</v>
      </c>
      <c r="K132" s="1" t="s">
        <v>1747</v>
      </c>
      <c r="L132" s="1" t="s">
        <v>1748</v>
      </c>
      <c r="M132" s="1" t="s">
        <v>296</v>
      </c>
      <c r="O132" s="1">
        <v>19</v>
      </c>
      <c r="P132" s="1">
        <v>750</v>
      </c>
      <c r="Q132" s="1" t="s">
        <v>832</v>
      </c>
      <c r="R132" s="1">
        <v>4</v>
      </c>
      <c r="S132" s="1">
        <v>4</v>
      </c>
      <c r="T132" s="1">
        <v>12</v>
      </c>
      <c r="U132" s="1" t="s">
        <v>40</v>
      </c>
      <c r="V132" s="1">
        <f t="shared" si="6"/>
        <v>5</v>
      </c>
      <c r="W132" s="1">
        <f t="shared" si="11"/>
        <v>2</v>
      </c>
      <c r="X132" s="81" t="s">
        <v>1756</v>
      </c>
      <c r="Y132" s="16"/>
      <c r="Z132" s="1">
        <v>20230506</v>
      </c>
      <c r="AF132" s="2">
        <f t="shared" si="8"/>
        <v>5</v>
      </c>
    </row>
    <row r="133" spans="1:42" ht="15" customHeight="1" x14ac:dyDescent="0.15">
      <c r="B133" s="11" t="str">
        <f t="shared" si="10"/>
        <v>19N_RPF</v>
      </c>
      <c r="C133" s="1" t="s">
        <v>1750</v>
      </c>
      <c r="D133" s="1" t="s">
        <v>746</v>
      </c>
      <c r="E133" s="2" t="s">
        <v>1753</v>
      </c>
      <c r="F133" s="1" t="s">
        <v>837</v>
      </c>
      <c r="G133" s="1" t="s">
        <v>829</v>
      </c>
      <c r="H133" s="1" t="s">
        <v>1746</v>
      </c>
      <c r="I133" s="1" t="s">
        <v>838</v>
      </c>
      <c r="J133" s="1" t="s">
        <v>839</v>
      </c>
      <c r="K133" s="1" t="s">
        <v>1751</v>
      </c>
      <c r="L133" s="1" t="s">
        <v>1748</v>
      </c>
      <c r="M133" s="1" t="s">
        <v>296</v>
      </c>
      <c r="O133" s="1">
        <v>19</v>
      </c>
      <c r="P133" s="1">
        <v>750</v>
      </c>
      <c r="Q133" s="1" t="s">
        <v>940</v>
      </c>
      <c r="R133" s="1">
        <v>3</v>
      </c>
      <c r="S133" s="1">
        <v>4</v>
      </c>
      <c r="T133" s="1">
        <v>4</v>
      </c>
      <c r="U133" s="1">
        <v>15</v>
      </c>
      <c r="V133" s="1">
        <f t="shared" si="6"/>
        <v>6</v>
      </c>
      <c r="W133" s="1">
        <f t="shared" si="11"/>
        <v>1</v>
      </c>
      <c r="X133" s="81" t="s">
        <v>1756</v>
      </c>
      <c r="Y133" s="16"/>
      <c r="Z133" s="1">
        <v>20230506</v>
      </c>
      <c r="AF133" s="2">
        <f t="shared" si="8"/>
        <v>6</v>
      </c>
    </row>
    <row r="134" spans="1:42" ht="15" customHeight="1" x14ac:dyDescent="0.15">
      <c r="B134" s="11" t="str">
        <f t="shared" si="10"/>
        <v>19N_RXF</v>
      </c>
      <c r="C134" s="1" t="s">
        <v>1750</v>
      </c>
      <c r="D134" s="1" t="s">
        <v>833</v>
      </c>
      <c r="E134" s="2" t="s">
        <v>1754</v>
      </c>
      <c r="F134" s="1" t="s">
        <v>837</v>
      </c>
      <c r="G134" s="1" t="s">
        <v>750</v>
      </c>
      <c r="H134" s="1" t="s">
        <v>1746</v>
      </c>
      <c r="I134" s="1" t="s">
        <v>838</v>
      </c>
      <c r="J134" s="1" t="s">
        <v>839</v>
      </c>
      <c r="K134" s="1" t="s">
        <v>1751</v>
      </c>
      <c r="L134" s="1" t="s">
        <v>1748</v>
      </c>
      <c r="M134" s="1" t="s">
        <v>296</v>
      </c>
      <c r="O134" s="1">
        <v>19</v>
      </c>
      <c r="P134" s="1">
        <v>750</v>
      </c>
      <c r="Q134" s="1" t="s">
        <v>940</v>
      </c>
      <c r="R134" s="1">
        <v>4</v>
      </c>
      <c r="S134" s="1">
        <v>4</v>
      </c>
      <c r="T134" s="1">
        <v>4</v>
      </c>
      <c r="U134" s="1">
        <v>15</v>
      </c>
      <c r="V134" s="1">
        <f t="shared" si="6"/>
        <v>6</v>
      </c>
      <c r="W134" s="1">
        <f t="shared" si="11"/>
        <v>2</v>
      </c>
      <c r="X134" s="81" t="s">
        <v>1756</v>
      </c>
      <c r="Y134" s="16"/>
      <c r="Z134" s="1">
        <v>20230506</v>
      </c>
      <c r="AF134" s="2">
        <f t="shared" si="8"/>
        <v>6</v>
      </c>
    </row>
    <row r="135" spans="1:42" ht="15" customHeight="1" x14ac:dyDescent="0.15">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
    </row>
    <row r="136" spans="1:42" ht="15" customHeight="1" x14ac:dyDescent="0.15">
      <c r="B136" s="12">
        <v>1</v>
      </c>
      <c r="C136" s="12">
        <v>2</v>
      </c>
      <c r="D136" s="12">
        <v>3</v>
      </c>
      <c r="E136" s="12">
        <v>4</v>
      </c>
      <c r="F136" s="12">
        <v>5</v>
      </c>
      <c r="G136" s="12">
        <v>6</v>
      </c>
      <c r="H136" s="12">
        <v>7</v>
      </c>
      <c r="I136" s="12">
        <v>8</v>
      </c>
      <c r="J136" s="12">
        <v>9</v>
      </c>
      <c r="K136" s="12">
        <v>10</v>
      </c>
      <c r="L136" s="12">
        <v>11</v>
      </c>
      <c r="M136" s="12">
        <v>12</v>
      </c>
      <c r="N136" s="12">
        <v>13</v>
      </c>
      <c r="O136" s="12">
        <v>14</v>
      </c>
      <c r="P136" s="12">
        <v>15</v>
      </c>
      <c r="Q136" s="12">
        <v>16</v>
      </c>
      <c r="R136" s="12">
        <v>17</v>
      </c>
      <c r="S136" s="12">
        <v>18</v>
      </c>
      <c r="T136" s="12">
        <v>19</v>
      </c>
      <c r="U136" s="12">
        <v>20</v>
      </c>
      <c r="Y136" s="2"/>
      <c r="Z136" s="1"/>
    </row>
    <row r="140" spans="1:42" ht="15" customHeight="1" x14ac:dyDescent="0.15">
      <c r="A140" s="61" t="s">
        <v>953</v>
      </c>
    </row>
    <row r="141" spans="1:42" ht="15" customHeight="1" x14ac:dyDescent="0.15">
      <c r="A141" s="65" t="s">
        <v>954</v>
      </c>
      <c r="V141" s="65" t="s">
        <v>1192</v>
      </c>
    </row>
    <row r="142" spans="1:42" ht="15" customHeight="1" x14ac:dyDescent="0.15">
      <c r="V142" s="72" t="s">
        <v>1193</v>
      </c>
    </row>
    <row r="143" spans="1:42" ht="15" customHeight="1" x14ac:dyDescent="0.15">
      <c r="H143" s="281" t="s">
        <v>1112</v>
      </c>
      <c r="I143" s="281"/>
      <c r="J143" s="281"/>
      <c r="K143" s="281"/>
      <c r="L143" s="281" t="s">
        <v>1113</v>
      </c>
      <c r="M143" s="281"/>
      <c r="N143" s="281"/>
      <c r="O143" s="281"/>
    </row>
    <row r="144" spans="1:42" ht="15" customHeight="1" x14ac:dyDescent="0.15">
      <c r="G144" s="7" t="s">
        <v>955</v>
      </c>
      <c r="H144" s="60" t="s">
        <v>91</v>
      </c>
      <c r="I144" s="60" t="s">
        <v>105</v>
      </c>
      <c r="J144" s="60" t="s">
        <v>259</v>
      </c>
      <c r="K144" s="60" t="s">
        <v>1142</v>
      </c>
      <c r="L144" s="60" t="s">
        <v>91</v>
      </c>
      <c r="M144" s="60" t="s">
        <v>105</v>
      </c>
      <c r="N144" s="60" t="s">
        <v>259</v>
      </c>
      <c r="O144" s="60" t="s">
        <v>1142</v>
      </c>
      <c r="P144" s="8"/>
      <c r="V144" s="1" t="s">
        <v>1596</v>
      </c>
      <c r="W144" s="8"/>
      <c r="X144" s="7" t="s">
        <v>51</v>
      </c>
      <c r="Y144" s="7" t="s">
        <v>46</v>
      </c>
      <c r="Z144" s="7" t="s">
        <v>1171</v>
      </c>
      <c r="AA144" s="7" t="s">
        <v>101</v>
      </c>
      <c r="AB144" s="7" t="s">
        <v>1171</v>
      </c>
      <c r="AC144" s="7" t="s">
        <v>193</v>
      </c>
      <c r="AD144" s="7" t="s">
        <v>1171</v>
      </c>
      <c r="AJ144" s="2" t="s">
        <v>51</v>
      </c>
      <c r="AK144" s="2" t="s">
        <v>46</v>
      </c>
      <c r="AL144" s="2" t="s">
        <v>1171</v>
      </c>
      <c r="AM144" s="2" t="s">
        <v>101</v>
      </c>
      <c r="AN144" s="2" t="s">
        <v>1171</v>
      </c>
      <c r="AO144" s="2" t="s">
        <v>193</v>
      </c>
      <c r="AP144" s="2" t="s">
        <v>1171</v>
      </c>
    </row>
    <row r="145" spans="2:42" ht="15" customHeight="1" x14ac:dyDescent="0.15">
      <c r="B145" s="44" t="s">
        <v>1151</v>
      </c>
      <c r="C145" s="1" t="s">
        <v>91</v>
      </c>
      <c r="D145" s="1">
        <v>1</v>
      </c>
      <c r="E145" s="2" t="s">
        <v>1143</v>
      </c>
      <c r="G145" s="11">
        <v>500</v>
      </c>
      <c r="H145" s="1" t="str">
        <f t="shared" ref="H145:H170" si="12">CONCATENATE(TEXT(G145/100,"00"),IF(macchina_W&lt;50,"A","B"))</f>
        <v>05A</v>
      </c>
      <c r="I145" s="1" t="str">
        <f t="shared" ref="I145:I170" si="13">CONCATENATE(TEXT(G145/100,"00"),IF(macchina_W&lt;50,"B","D"))</f>
        <v>05B</v>
      </c>
      <c r="J145" s="1" t="str">
        <f t="shared" ref="J145:J170" si="14">CONCATENATE(TEXT(G145/100,"00"),IF(macchina_W&lt;50,"C","F"))</f>
        <v>05C</v>
      </c>
      <c r="K145" s="1" t="str">
        <f t="shared" ref="K145:K170" si="15">CONCATENATE(TEXT(G145/100,"00"),IF(macchina_W&lt;50,"D","G"))</f>
        <v>05D</v>
      </c>
      <c r="L145" s="1" t="s">
        <v>959</v>
      </c>
      <c r="M145" s="1" t="s">
        <v>960</v>
      </c>
      <c r="N145" s="1" t="s">
        <v>961</v>
      </c>
      <c r="O145" s="1" t="s">
        <v>1114</v>
      </c>
      <c r="P145" s="16"/>
      <c r="V145" s="77" t="str">
        <f t="shared" ref="V145:V178" si="16">IF(W145=1,"&gt;","")</f>
        <v/>
      </c>
      <c r="W145" s="1">
        <f t="shared" ref="W145:W184" si="17">Z145*AB145*AD145</f>
        <v>0</v>
      </c>
      <c r="X145" s="11" t="s">
        <v>57</v>
      </c>
      <c r="Y145" s="1" t="s">
        <v>254</v>
      </c>
      <c r="Z145" s="1">
        <f t="shared" ref="Z145:Z156" si="18">IF(AND(mrid=Y145,flg_mrid_tipo="K"),1,0)</f>
        <v>0</v>
      </c>
      <c r="AA145" s="1">
        <v>1</v>
      </c>
      <c r="AB145" s="1">
        <f t="shared" ref="AB145:AB184" si="19">IF(mrid_qt=AA145,1,0)</f>
        <v>0</v>
      </c>
      <c r="AC145" s="1" t="str">
        <f>VLOOKUP("C01",trad_termini,ID_lingua,FALSE)</f>
        <v>R</v>
      </c>
      <c r="AD145" s="1">
        <f t="shared" ref="AD145:AD156" si="20">IF(AND(flg_mrid_lato=AC145,flg_mrid_tipo="K"),1,0)</f>
        <v>0</v>
      </c>
      <c r="AE145" s="16"/>
      <c r="AH145" s="2" t="s">
        <v>1569</v>
      </c>
      <c r="AI145" s="57">
        <v>0</v>
      </c>
      <c r="AJ145" s="2" t="s">
        <v>57</v>
      </c>
      <c r="AK145" s="2" t="s">
        <v>254</v>
      </c>
      <c r="AL145" s="2">
        <v>0</v>
      </c>
      <c r="AM145" s="2">
        <v>1</v>
      </c>
      <c r="AN145" s="2">
        <v>1</v>
      </c>
      <c r="AO145" s="2" t="s">
        <v>60</v>
      </c>
      <c r="AP145" s="2">
        <v>0</v>
      </c>
    </row>
    <row r="146" spans="2:42" ht="15" customHeight="1" x14ac:dyDescent="0.15">
      <c r="C146" s="1" t="s">
        <v>105</v>
      </c>
      <c r="D146" s="1">
        <v>2</v>
      </c>
      <c r="E146" s="2" t="s">
        <v>1144</v>
      </c>
      <c r="G146" s="11">
        <v>600</v>
      </c>
      <c r="H146" s="1" t="str">
        <f t="shared" si="12"/>
        <v>06A</v>
      </c>
      <c r="I146" s="1" t="str">
        <f t="shared" si="13"/>
        <v>06B</v>
      </c>
      <c r="J146" s="1" t="str">
        <f t="shared" si="14"/>
        <v>06C</v>
      </c>
      <c r="K146" s="1" t="str">
        <f t="shared" si="15"/>
        <v>06D</v>
      </c>
      <c r="L146" s="1" t="s">
        <v>965</v>
      </c>
      <c r="M146" s="1" t="s">
        <v>966</v>
      </c>
      <c r="N146" s="1" t="s">
        <v>967</v>
      </c>
      <c r="O146" s="1" t="s">
        <v>1115</v>
      </c>
      <c r="P146" s="16"/>
      <c r="V146" s="77" t="str">
        <f t="shared" si="16"/>
        <v/>
      </c>
      <c r="W146" s="1">
        <f t="shared" si="17"/>
        <v>0</v>
      </c>
      <c r="X146" s="11" t="s">
        <v>58</v>
      </c>
      <c r="Y146" s="1" t="s">
        <v>254</v>
      </c>
      <c r="Z146" s="1">
        <f t="shared" si="18"/>
        <v>0</v>
      </c>
      <c r="AA146" s="1">
        <v>1</v>
      </c>
      <c r="AB146" s="1">
        <f t="shared" si="19"/>
        <v>0</v>
      </c>
      <c r="AC146" s="1" t="str">
        <f>VLOOKUP("C02",trad_termini,ID_lingua,FALSE)</f>
        <v>L</v>
      </c>
      <c r="AD146" s="1">
        <f t="shared" si="20"/>
        <v>0</v>
      </c>
      <c r="AE146" s="16"/>
      <c r="AH146" s="2" t="s">
        <v>1569</v>
      </c>
      <c r="AI146" s="57">
        <v>0</v>
      </c>
      <c r="AJ146" s="2" t="s">
        <v>58</v>
      </c>
      <c r="AK146" s="2" t="s">
        <v>254</v>
      </c>
      <c r="AL146" s="2">
        <v>0</v>
      </c>
      <c r="AM146" s="2">
        <v>1</v>
      </c>
      <c r="AN146" s="2">
        <v>1</v>
      </c>
      <c r="AO146" s="2" t="s">
        <v>925</v>
      </c>
      <c r="AP146" s="2">
        <v>1</v>
      </c>
    </row>
    <row r="147" spans="2:42" ht="15" customHeight="1" x14ac:dyDescent="0.15">
      <c r="C147" s="1" t="s">
        <v>259</v>
      </c>
      <c r="D147" s="1">
        <v>3</v>
      </c>
      <c r="E147" s="2" t="s">
        <v>1145</v>
      </c>
      <c r="G147" s="11">
        <v>700</v>
      </c>
      <c r="H147" s="1" t="str">
        <f t="shared" si="12"/>
        <v>07A</v>
      </c>
      <c r="I147" s="1" t="str">
        <f t="shared" si="13"/>
        <v>07B</v>
      </c>
      <c r="J147" s="1" t="str">
        <f t="shared" si="14"/>
        <v>07C</v>
      </c>
      <c r="K147" s="1" t="str">
        <f t="shared" si="15"/>
        <v>07D</v>
      </c>
      <c r="L147" s="1" t="s">
        <v>971</v>
      </c>
      <c r="M147" s="1" t="s">
        <v>972</v>
      </c>
      <c r="N147" s="1" t="s">
        <v>973</v>
      </c>
      <c r="O147" s="1" t="s">
        <v>1116</v>
      </c>
      <c r="P147" s="16"/>
      <c r="V147" s="77" t="str">
        <f t="shared" si="16"/>
        <v/>
      </c>
      <c r="W147" s="1">
        <f t="shared" si="17"/>
        <v>0</v>
      </c>
      <c r="X147" s="11" t="s">
        <v>59</v>
      </c>
      <c r="Y147" s="1" t="s">
        <v>254</v>
      </c>
      <c r="Z147" s="1">
        <f t="shared" si="18"/>
        <v>0</v>
      </c>
      <c r="AA147" s="1">
        <v>2</v>
      </c>
      <c r="AB147" s="1">
        <f t="shared" si="19"/>
        <v>1</v>
      </c>
      <c r="AC147" s="1" t="s">
        <v>40</v>
      </c>
      <c r="AD147" s="1">
        <f t="shared" si="20"/>
        <v>1</v>
      </c>
      <c r="AE147" s="16"/>
      <c r="AH147" s="2" t="s">
        <v>1569</v>
      </c>
      <c r="AI147" s="57">
        <v>0</v>
      </c>
      <c r="AJ147" s="2" t="s">
        <v>59</v>
      </c>
      <c r="AK147" s="2" t="s">
        <v>254</v>
      </c>
      <c r="AL147" s="2">
        <v>0</v>
      </c>
      <c r="AM147" s="2">
        <v>2</v>
      </c>
      <c r="AN147" s="2">
        <v>0</v>
      </c>
      <c r="AO147" s="2" t="s">
        <v>40</v>
      </c>
      <c r="AP147" s="2">
        <v>0</v>
      </c>
    </row>
    <row r="148" spans="2:42" ht="15" customHeight="1" x14ac:dyDescent="0.15">
      <c r="C148" s="1" t="s">
        <v>1142</v>
      </c>
      <c r="D148" s="1">
        <v>4</v>
      </c>
      <c r="E148" s="2" t="s">
        <v>1146</v>
      </c>
      <c r="G148" s="11">
        <v>800</v>
      </c>
      <c r="H148" s="1" t="str">
        <f t="shared" si="12"/>
        <v>08A</v>
      </c>
      <c r="I148" s="1" t="str">
        <f t="shared" si="13"/>
        <v>08B</v>
      </c>
      <c r="J148" s="1" t="str">
        <f t="shared" si="14"/>
        <v>08C</v>
      </c>
      <c r="K148" s="1" t="str">
        <f t="shared" si="15"/>
        <v>08D</v>
      </c>
      <c r="L148" s="1" t="s">
        <v>977</v>
      </c>
      <c r="M148" s="1" t="s">
        <v>978</v>
      </c>
      <c r="N148" s="1" t="s">
        <v>979</v>
      </c>
      <c r="O148" s="1" t="s">
        <v>1117</v>
      </c>
      <c r="P148" s="16"/>
      <c r="V148" s="77" t="str">
        <f t="shared" si="16"/>
        <v/>
      </c>
      <c r="W148" s="1">
        <f t="shared" si="17"/>
        <v>0</v>
      </c>
      <c r="X148" s="11" t="s">
        <v>60</v>
      </c>
      <c r="Y148" s="1" t="s">
        <v>255</v>
      </c>
      <c r="Z148" s="1">
        <f t="shared" si="18"/>
        <v>0</v>
      </c>
      <c r="AA148" s="1">
        <v>1</v>
      </c>
      <c r="AB148" s="1">
        <f t="shared" si="19"/>
        <v>0</v>
      </c>
      <c r="AC148" s="1" t="str">
        <f>VLOOKUP("C01",trad_termini,ID_lingua,FALSE)</f>
        <v>R</v>
      </c>
      <c r="AD148" s="1">
        <f t="shared" si="20"/>
        <v>0</v>
      </c>
      <c r="AE148" s="16"/>
      <c r="AH148" s="2" t="s">
        <v>1569</v>
      </c>
      <c r="AI148" s="57">
        <v>0</v>
      </c>
      <c r="AJ148" s="2" t="s">
        <v>60</v>
      </c>
      <c r="AK148" s="2" t="s">
        <v>255</v>
      </c>
      <c r="AL148" s="2">
        <v>0</v>
      </c>
      <c r="AM148" s="2">
        <v>1</v>
      </c>
      <c r="AN148" s="2">
        <v>1</v>
      </c>
      <c r="AO148" s="2" t="s">
        <v>60</v>
      </c>
      <c r="AP148" s="2">
        <v>0</v>
      </c>
    </row>
    <row r="149" spans="2:42" ht="15" customHeight="1" x14ac:dyDescent="0.15">
      <c r="C149" s="17" t="s">
        <v>40</v>
      </c>
      <c r="D149" s="17" t="s">
        <v>40</v>
      </c>
      <c r="G149" s="11">
        <v>900</v>
      </c>
      <c r="H149" s="1" t="str">
        <f t="shared" si="12"/>
        <v>09A</v>
      </c>
      <c r="I149" s="1" t="str">
        <f t="shared" si="13"/>
        <v>09B</v>
      </c>
      <c r="J149" s="1" t="str">
        <f t="shared" si="14"/>
        <v>09C</v>
      </c>
      <c r="K149" s="1" t="str">
        <f t="shared" si="15"/>
        <v>09D</v>
      </c>
      <c r="L149" s="1" t="s">
        <v>983</v>
      </c>
      <c r="M149" s="1" t="s">
        <v>984</v>
      </c>
      <c r="N149" s="1" t="s">
        <v>985</v>
      </c>
      <c r="O149" s="1" t="s">
        <v>1118</v>
      </c>
      <c r="P149" s="16"/>
      <c r="V149" s="77" t="str">
        <f t="shared" si="16"/>
        <v/>
      </c>
      <c r="W149" s="1">
        <f t="shared" si="17"/>
        <v>0</v>
      </c>
      <c r="X149" s="11" t="s">
        <v>61</v>
      </c>
      <c r="Y149" s="1" t="s">
        <v>255</v>
      </c>
      <c r="Z149" s="1">
        <f t="shared" si="18"/>
        <v>0</v>
      </c>
      <c r="AA149" s="1">
        <v>1</v>
      </c>
      <c r="AB149" s="1">
        <f t="shared" si="19"/>
        <v>0</v>
      </c>
      <c r="AC149" s="1" t="str">
        <f>VLOOKUP("C02",trad_termini,ID_lingua,FALSE)</f>
        <v>L</v>
      </c>
      <c r="AD149" s="1">
        <f t="shared" si="20"/>
        <v>0</v>
      </c>
      <c r="AE149" s="16"/>
      <c r="AH149" s="2" t="s">
        <v>1569</v>
      </c>
      <c r="AI149" s="57">
        <v>0</v>
      </c>
      <c r="AJ149" s="2" t="s">
        <v>61</v>
      </c>
      <c r="AK149" s="2" t="s">
        <v>255</v>
      </c>
      <c r="AL149" s="2">
        <v>0</v>
      </c>
      <c r="AM149" s="2">
        <v>1</v>
      </c>
      <c r="AN149" s="2">
        <v>1</v>
      </c>
      <c r="AO149" s="2" t="s">
        <v>925</v>
      </c>
      <c r="AP149" s="2">
        <v>1</v>
      </c>
    </row>
    <row r="150" spans="2:42" ht="15" customHeight="1" x14ac:dyDescent="0.15">
      <c r="G150" s="11">
        <v>1000</v>
      </c>
      <c r="H150" s="1" t="str">
        <f t="shared" si="12"/>
        <v>10A</v>
      </c>
      <c r="I150" s="1" t="str">
        <f t="shared" si="13"/>
        <v>10B</v>
      </c>
      <c r="J150" s="1" t="str">
        <f t="shared" si="14"/>
        <v>10C</v>
      </c>
      <c r="K150" s="1" t="str">
        <f t="shared" si="15"/>
        <v>10D</v>
      </c>
      <c r="L150" s="1" t="s">
        <v>989</v>
      </c>
      <c r="M150" s="1" t="s">
        <v>990</v>
      </c>
      <c r="N150" s="1" t="s">
        <v>991</v>
      </c>
      <c r="O150" s="1" t="s">
        <v>1119</v>
      </c>
      <c r="P150" s="16"/>
      <c r="V150" s="77" t="str">
        <f t="shared" si="16"/>
        <v/>
      </c>
      <c r="W150" s="1">
        <f t="shared" si="17"/>
        <v>0</v>
      </c>
      <c r="X150" s="11" t="s">
        <v>62</v>
      </c>
      <c r="Y150" s="1" t="s">
        <v>255</v>
      </c>
      <c r="Z150" s="1">
        <f t="shared" si="18"/>
        <v>0</v>
      </c>
      <c r="AA150" s="1">
        <v>2</v>
      </c>
      <c r="AB150" s="1">
        <f t="shared" si="19"/>
        <v>1</v>
      </c>
      <c r="AC150" s="1" t="s">
        <v>40</v>
      </c>
      <c r="AD150" s="1">
        <f t="shared" si="20"/>
        <v>1</v>
      </c>
      <c r="AE150" s="16"/>
      <c r="AH150" s="2" t="s">
        <v>1569</v>
      </c>
      <c r="AI150" s="57">
        <v>0</v>
      </c>
      <c r="AJ150" s="2" t="s">
        <v>62</v>
      </c>
      <c r="AK150" s="2" t="s">
        <v>255</v>
      </c>
      <c r="AL150" s="2">
        <v>0</v>
      </c>
      <c r="AM150" s="2">
        <v>2</v>
      </c>
      <c r="AN150" s="2">
        <v>0</v>
      </c>
      <c r="AO150" s="2" t="s">
        <v>40</v>
      </c>
      <c r="AP150" s="2">
        <v>0</v>
      </c>
    </row>
    <row r="151" spans="2:42" ht="15" customHeight="1" x14ac:dyDescent="0.15">
      <c r="G151" s="11">
        <v>1100</v>
      </c>
      <c r="H151" s="1" t="str">
        <f t="shared" si="12"/>
        <v>11A</v>
      </c>
      <c r="I151" s="1" t="str">
        <f t="shared" si="13"/>
        <v>11B</v>
      </c>
      <c r="J151" s="1" t="str">
        <f t="shared" si="14"/>
        <v>11C</v>
      </c>
      <c r="K151" s="1" t="str">
        <f t="shared" si="15"/>
        <v>11D</v>
      </c>
      <c r="L151" s="1" t="s">
        <v>995</v>
      </c>
      <c r="M151" s="1" t="s">
        <v>996</v>
      </c>
      <c r="N151" s="1" t="s">
        <v>997</v>
      </c>
      <c r="O151" s="1" t="s">
        <v>1120</v>
      </c>
      <c r="P151" s="16"/>
      <c r="V151" s="77" t="str">
        <f t="shared" si="16"/>
        <v/>
      </c>
      <c r="W151" s="1">
        <f t="shared" si="17"/>
        <v>0</v>
      </c>
      <c r="X151" s="11" t="s">
        <v>237</v>
      </c>
      <c r="Y151" s="1" t="s">
        <v>256</v>
      </c>
      <c r="Z151" s="1">
        <f t="shared" si="18"/>
        <v>1</v>
      </c>
      <c r="AA151" s="1">
        <v>1</v>
      </c>
      <c r="AB151" s="1">
        <f t="shared" si="19"/>
        <v>0</v>
      </c>
      <c r="AC151" s="1" t="str">
        <f>VLOOKUP("C01",trad_termini,ID_lingua,FALSE)</f>
        <v>R</v>
      </c>
      <c r="AD151" s="1">
        <f t="shared" si="20"/>
        <v>0</v>
      </c>
      <c r="AE151" s="16"/>
      <c r="AH151" s="2" t="s">
        <v>1569</v>
      </c>
      <c r="AI151" s="57">
        <v>0</v>
      </c>
      <c r="AJ151" s="2" t="s">
        <v>237</v>
      </c>
      <c r="AK151" s="2" t="s">
        <v>256</v>
      </c>
      <c r="AL151" s="2">
        <v>0</v>
      </c>
      <c r="AM151" s="2">
        <v>1</v>
      </c>
      <c r="AN151" s="2">
        <v>1</v>
      </c>
      <c r="AO151" s="2" t="s">
        <v>60</v>
      </c>
      <c r="AP151" s="2">
        <v>0</v>
      </c>
    </row>
    <row r="152" spans="2:42" ht="15" customHeight="1" x14ac:dyDescent="0.15">
      <c r="G152" s="11">
        <v>1200</v>
      </c>
      <c r="H152" s="1" t="str">
        <f t="shared" si="12"/>
        <v>12A</v>
      </c>
      <c r="I152" s="1" t="str">
        <f t="shared" si="13"/>
        <v>12B</v>
      </c>
      <c r="J152" s="1" t="str">
        <f t="shared" si="14"/>
        <v>12C</v>
      </c>
      <c r="K152" s="1" t="str">
        <f t="shared" si="15"/>
        <v>12D</v>
      </c>
      <c r="L152" s="1" t="s">
        <v>1001</v>
      </c>
      <c r="M152" s="1" t="s">
        <v>1002</v>
      </c>
      <c r="N152" s="1" t="s">
        <v>1003</v>
      </c>
      <c r="O152" s="1" t="s">
        <v>1121</v>
      </c>
      <c r="P152" s="16"/>
      <c r="V152" s="77" t="str">
        <f t="shared" si="16"/>
        <v/>
      </c>
      <c r="W152" s="1">
        <f t="shared" si="17"/>
        <v>0</v>
      </c>
      <c r="X152" s="11" t="s">
        <v>91</v>
      </c>
      <c r="Y152" s="1" t="s">
        <v>256</v>
      </c>
      <c r="Z152" s="1">
        <f t="shared" si="18"/>
        <v>1</v>
      </c>
      <c r="AA152" s="1">
        <v>1</v>
      </c>
      <c r="AB152" s="1">
        <f t="shared" si="19"/>
        <v>0</v>
      </c>
      <c r="AC152" s="1" t="str">
        <f>VLOOKUP("C02",trad_termini,ID_lingua,FALSE)</f>
        <v>L</v>
      </c>
      <c r="AD152" s="1">
        <f t="shared" si="20"/>
        <v>0</v>
      </c>
      <c r="AE152" s="16"/>
      <c r="AH152" s="2" t="s">
        <v>1569</v>
      </c>
      <c r="AI152" s="57">
        <v>0</v>
      </c>
      <c r="AJ152" s="2" t="s">
        <v>91</v>
      </c>
      <c r="AK152" s="2" t="s">
        <v>257</v>
      </c>
      <c r="AL152" s="2">
        <v>1</v>
      </c>
      <c r="AM152" s="2">
        <v>1</v>
      </c>
      <c r="AN152" s="2">
        <v>1</v>
      </c>
      <c r="AO152" s="2" t="s">
        <v>60</v>
      </c>
      <c r="AP152" s="2">
        <v>0</v>
      </c>
    </row>
    <row r="153" spans="2:42" ht="15" customHeight="1" x14ac:dyDescent="0.15">
      <c r="G153" s="11">
        <v>1300</v>
      </c>
      <c r="H153" s="1" t="str">
        <f t="shared" si="12"/>
        <v>13A</v>
      </c>
      <c r="I153" s="1" t="str">
        <f t="shared" si="13"/>
        <v>13B</v>
      </c>
      <c r="J153" s="1" t="str">
        <f t="shared" si="14"/>
        <v>13C</v>
      </c>
      <c r="K153" s="1" t="str">
        <f t="shared" si="15"/>
        <v>13D</v>
      </c>
      <c r="L153" s="1" t="s">
        <v>1007</v>
      </c>
      <c r="M153" s="1" t="s">
        <v>1008</v>
      </c>
      <c r="N153" s="1" t="s">
        <v>1009</v>
      </c>
      <c r="O153" s="1" t="s">
        <v>1122</v>
      </c>
      <c r="P153" s="16"/>
      <c r="V153" s="77" t="str">
        <f t="shared" si="16"/>
        <v>&gt;</v>
      </c>
      <c r="W153" s="1">
        <f t="shared" si="17"/>
        <v>1</v>
      </c>
      <c r="X153" s="11" t="s">
        <v>1172</v>
      </c>
      <c r="Y153" s="1" t="s">
        <v>256</v>
      </c>
      <c r="Z153" s="1">
        <f t="shared" si="18"/>
        <v>1</v>
      </c>
      <c r="AA153" s="1">
        <v>2</v>
      </c>
      <c r="AB153" s="1">
        <f t="shared" si="19"/>
        <v>1</v>
      </c>
      <c r="AC153" s="1" t="s">
        <v>40</v>
      </c>
      <c r="AD153" s="1">
        <f t="shared" si="20"/>
        <v>1</v>
      </c>
      <c r="AE153" s="16"/>
      <c r="AH153" s="2" t="s">
        <v>1569</v>
      </c>
      <c r="AI153" s="57">
        <v>0</v>
      </c>
      <c r="AJ153" s="2" t="s">
        <v>1172</v>
      </c>
      <c r="AK153" s="2" t="s">
        <v>256</v>
      </c>
      <c r="AL153" s="2">
        <v>0</v>
      </c>
      <c r="AM153" s="2">
        <v>1</v>
      </c>
      <c r="AN153" s="2">
        <v>1</v>
      </c>
      <c r="AO153" s="2" t="s">
        <v>925</v>
      </c>
      <c r="AP153" s="2">
        <v>1</v>
      </c>
    </row>
    <row r="154" spans="2:42" ht="15" customHeight="1" x14ac:dyDescent="0.15">
      <c r="G154" s="11">
        <v>1400</v>
      </c>
      <c r="H154" s="1" t="str">
        <f t="shared" si="12"/>
        <v>14A</v>
      </c>
      <c r="I154" s="1" t="str">
        <f t="shared" si="13"/>
        <v>14B</v>
      </c>
      <c r="J154" s="1" t="str">
        <f t="shared" si="14"/>
        <v>14C</v>
      </c>
      <c r="K154" s="1" t="str">
        <f t="shared" si="15"/>
        <v>14D</v>
      </c>
      <c r="L154" s="1" t="s">
        <v>1013</v>
      </c>
      <c r="M154" s="1" t="s">
        <v>1014</v>
      </c>
      <c r="N154" s="1" t="s">
        <v>1015</v>
      </c>
      <c r="O154" s="1" t="s">
        <v>1123</v>
      </c>
      <c r="P154" s="16"/>
      <c r="V154" s="77" t="str">
        <f t="shared" si="16"/>
        <v/>
      </c>
      <c r="W154" s="1">
        <f t="shared" si="17"/>
        <v>0</v>
      </c>
      <c r="X154" s="11" t="s">
        <v>1173</v>
      </c>
      <c r="Y154" s="1" t="s">
        <v>257</v>
      </c>
      <c r="Z154" s="1">
        <f t="shared" si="18"/>
        <v>0</v>
      </c>
      <c r="AA154" s="1">
        <v>1</v>
      </c>
      <c r="AB154" s="1">
        <f t="shared" si="19"/>
        <v>0</v>
      </c>
      <c r="AC154" s="1" t="str">
        <f>VLOOKUP("C01",trad_termini,ID_lingua,FALSE)</f>
        <v>R</v>
      </c>
      <c r="AD154" s="1">
        <f t="shared" si="20"/>
        <v>0</v>
      </c>
      <c r="AE154" s="16"/>
      <c r="AH154" s="2" t="s">
        <v>463</v>
      </c>
      <c r="AI154" s="57">
        <v>1</v>
      </c>
      <c r="AJ154" s="2" t="s">
        <v>1173</v>
      </c>
      <c r="AK154" s="2" t="s">
        <v>257</v>
      </c>
      <c r="AL154" s="2">
        <v>1</v>
      </c>
      <c r="AM154" s="2">
        <v>1</v>
      </c>
      <c r="AN154" s="2">
        <v>1</v>
      </c>
      <c r="AO154" s="2" t="s">
        <v>925</v>
      </c>
      <c r="AP154" s="2">
        <v>1</v>
      </c>
    </row>
    <row r="155" spans="2:42" ht="15" customHeight="1" x14ac:dyDescent="0.15">
      <c r="G155" s="11">
        <v>1500</v>
      </c>
      <c r="H155" s="1" t="str">
        <f t="shared" si="12"/>
        <v>15A</v>
      </c>
      <c r="I155" s="1" t="str">
        <f t="shared" si="13"/>
        <v>15B</v>
      </c>
      <c r="J155" s="1" t="str">
        <f t="shared" si="14"/>
        <v>15C</v>
      </c>
      <c r="K155" s="1" t="str">
        <f t="shared" si="15"/>
        <v>15D</v>
      </c>
      <c r="L155" s="1" t="s">
        <v>1019</v>
      </c>
      <c r="M155" s="1" t="s">
        <v>1020</v>
      </c>
      <c r="N155" s="1" t="s">
        <v>1021</v>
      </c>
      <c r="O155" s="1" t="s">
        <v>1124</v>
      </c>
      <c r="P155" s="16"/>
      <c r="V155" s="77" t="str">
        <f t="shared" si="16"/>
        <v/>
      </c>
      <c r="W155" s="1">
        <f t="shared" si="17"/>
        <v>0</v>
      </c>
      <c r="X155" s="11" t="s">
        <v>259</v>
      </c>
      <c r="Y155" s="1" t="s">
        <v>257</v>
      </c>
      <c r="Z155" s="1">
        <f t="shared" si="18"/>
        <v>0</v>
      </c>
      <c r="AA155" s="1">
        <v>1</v>
      </c>
      <c r="AB155" s="1">
        <f t="shared" si="19"/>
        <v>0</v>
      </c>
      <c r="AC155" s="1" t="str">
        <f>VLOOKUP("C02",trad_termini,ID_lingua,FALSE)</f>
        <v>L</v>
      </c>
      <c r="AD155" s="1">
        <f t="shared" si="20"/>
        <v>0</v>
      </c>
      <c r="AE155" s="16"/>
      <c r="AH155" s="2" t="s">
        <v>1569</v>
      </c>
      <c r="AI155" s="57">
        <v>0</v>
      </c>
      <c r="AJ155" s="2" t="s">
        <v>259</v>
      </c>
      <c r="AK155" s="2" t="s">
        <v>256</v>
      </c>
      <c r="AL155" s="2">
        <v>0</v>
      </c>
      <c r="AM155" s="2">
        <v>2</v>
      </c>
      <c r="AN155" s="2">
        <v>0</v>
      </c>
      <c r="AO155" s="2" t="s">
        <v>40</v>
      </c>
      <c r="AP155" s="2">
        <v>0</v>
      </c>
    </row>
    <row r="156" spans="2:42" ht="15" customHeight="1" x14ac:dyDescent="0.15">
      <c r="G156" s="11">
        <v>1600</v>
      </c>
      <c r="H156" s="1" t="str">
        <f t="shared" si="12"/>
        <v>16A</v>
      </c>
      <c r="I156" s="1" t="str">
        <f t="shared" si="13"/>
        <v>16B</v>
      </c>
      <c r="J156" s="1" t="str">
        <f t="shared" si="14"/>
        <v>16C</v>
      </c>
      <c r="K156" s="1" t="str">
        <f t="shared" si="15"/>
        <v>16D</v>
      </c>
      <c r="L156" s="1" t="s">
        <v>1025</v>
      </c>
      <c r="M156" s="1" t="s">
        <v>1026</v>
      </c>
      <c r="N156" s="1" t="s">
        <v>1027</v>
      </c>
      <c r="O156" s="1" t="s">
        <v>1125</v>
      </c>
      <c r="P156" s="16"/>
      <c r="V156" s="77" t="str">
        <f t="shared" si="16"/>
        <v/>
      </c>
      <c r="W156" s="1">
        <f t="shared" si="17"/>
        <v>0</v>
      </c>
      <c r="X156" s="11" t="s">
        <v>1142</v>
      </c>
      <c r="Y156" s="1" t="s">
        <v>257</v>
      </c>
      <c r="Z156" s="1">
        <f t="shared" si="18"/>
        <v>0</v>
      </c>
      <c r="AA156" s="1">
        <v>2</v>
      </c>
      <c r="AB156" s="1">
        <f t="shared" si="19"/>
        <v>1</v>
      </c>
      <c r="AC156" s="1" t="s">
        <v>40</v>
      </c>
      <c r="AD156" s="1">
        <f t="shared" si="20"/>
        <v>1</v>
      </c>
      <c r="AE156" s="16"/>
      <c r="AH156" s="2" t="s">
        <v>1569</v>
      </c>
      <c r="AI156" s="57">
        <v>0</v>
      </c>
      <c r="AJ156" s="2" t="s">
        <v>1142</v>
      </c>
      <c r="AK156" s="2" t="s">
        <v>257</v>
      </c>
      <c r="AL156" s="2">
        <v>1</v>
      </c>
      <c r="AM156" s="2">
        <v>2</v>
      </c>
      <c r="AN156" s="2">
        <v>0</v>
      </c>
      <c r="AO156" s="2" t="s">
        <v>40</v>
      </c>
      <c r="AP156" s="2">
        <v>0</v>
      </c>
    </row>
    <row r="157" spans="2:42" ht="15" customHeight="1" x14ac:dyDescent="0.15">
      <c r="G157" s="11">
        <v>1700</v>
      </c>
      <c r="H157" s="1" t="str">
        <f t="shared" si="12"/>
        <v>17A</v>
      </c>
      <c r="I157" s="1" t="str">
        <f t="shared" si="13"/>
        <v>17B</v>
      </c>
      <c r="J157" s="1" t="str">
        <f t="shared" si="14"/>
        <v>17C</v>
      </c>
      <c r="K157" s="1" t="str">
        <f t="shared" si="15"/>
        <v>17D</v>
      </c>
      <c r="L157" s="1" t="s">
        <v>1031</v>
      </c>
      <c r="M157" s="1" t="s">
        <v>1032</v>
      </c>
      <c r="N157" s="1" t="s">
        <v>1033</v>
      </c>
      <c r="O157" s="1" t="s">
        <v>1126</v>
      </c>
      <c r="P157" s="16"/>
      <c r="V157" s="77" t="str">
        <f t="shared" si="16"/>
        <v/>
      </c>
      <c r="W157" s="1">
        <f t="shared" si="17"/>
        <v>0</v>
      </c>
      <c r="X157" s="11" t="s">
        <v>801</v>
      </c>
      <c r="Y157" s="1" t="s">
        <v>150</v>
      </c>
      <c r="Z157" s="1">
        <f t="shared" ref="Z157:Z166" si="21">IF(AND(mrid=Y157,flg_mrid_tipo="R"),1,0)</f>
        <v>0</v>
      </c>
      <c r="AA157" s="1">
        <v>1</v>
      </c>
      <c r="AB157" s="1">
        <f t="shared" si="19"/>
        <v>0</v>
      </c>
      <c r="AC157" s="1" t="str">
        <f>VLOOKUP("C01",trad_termini,ID_lingua,FALSE)</f>
        <v>R</v>
      </c>
      <c r="AD157" s="1">
        <f t="shared" ref="AD157:AD166" si="22">IF(AND(flg_mrid_lato=AC157,flg_mrid_tipo="R"),1,0)</f>
        <v>0</v>
      </c>
      <c r="AE157" s="16"/>
      <c r="AH157" s="2" t="s">
        <v>1569</v>
      </c>
      <c r="AI157" s="57">
        <v>0</v>
      </c>
      <c r="AJ157" s="2" t="s">
        <v>801</v>
      </c>
      <c r="AK157" s="2" t="s">
        <v>1174</v>
      </c>
      <c r="AL157" s="2">
        <v>0</v>
      </c>
      <c r="AM157" s="2">
        <v>1</v>
      </c>
      <c r="AN157" s="2">
        <v>1</v>
      </c>
      <c r="AO157" s="2" t="s">
        <v>60</v>
      </c>
      <c r="AP157" s="2">
        <v>0</v>
      </c>
    </row>
    <row r="158" spans="2:42" ht="15" customHeight="1" x14ac:dyDescent="0.15">
      <c r="G158" s="11">
        <v>1800</v>
      </c>
      <c r="H158" s="1" t="str">
        <f t="shared" si="12"/>
        <v>18A</v>
      </c>
      <c r="I158" s="1" t="str">
        <f t="shared" si="13"/>
        <v>18B</v>
      </c>
      <c r="J158" s="1" t="str">
        <f t="shared" si="14"/>
        <v>18C</v>
      </c>
      <c r="K158" s="1" t="str">
        <f t="shared" si="15"/>
        <v>18D</v>
      </c>
      <c r="L158" s="1" t="s">
        <v>1037</v>
      </c>
      <c r="M158" s="1" t="s">
        <v>1038</v>
      </c>
      <c r="N158" s="1" t="s">
        <v>1039</v>
      </c>
      <c r="O158" s="1" t="s">
        <v>1127</v>
      </c>
      <c r="P158" s="16"/>
      <c r="V158" s="77" t="str">
        <f t="shared" si="16"/>
        <v/>
      </c>
      <c r="W158" s="1">
        <f t="shared" si="17"/>
        <v>0</v>
      </c>
      <c r="X158" s="11" t="s">
        <v>804</v>
      </c>
      <c r="Y158" s="1" t="s">
        <v>150</v>
      </c>
      <c r="Z158" s="1">
        <f t="shared" si="21"/>
        <v>0</v>
      </c>
      <c r="AA158" s="1">
        <v>1</v>
      </c>
      <c r="AB158" s="1">
        <f t="shared" si="19"/>
        <v>0</v>
      </c>
      <c r="AC158" s="1" t="str">
        <f>VLOOKUP("C02",trad_termini,ID_lingua,FALSE)</f>
        <v>L</v>
      </c>
      <c r="AD158" s="1">
        <f t="shared" si="22"/>
        <v>0</v>
      </c>
      <c r="AE158" s="16"/>
      <c r="AH158" s="2" t="s">
        <v>1569</v>
      </c>
      <c r="AI158" s="57">
        <v>0</v>
      </c>
      <c r="AJ158" s="2" t="s">
        <v>804</v>
      </c>
      <c r="AK158" s="2" t="s">
        <v>1175</v>
      </c>
      <c r="AL158" s="2">
        <v>0</v>
      </c>
      <c r="AM158" s="2">
        <v>1</v>
      </c>
      <c r="AN158" s="2">
        <v>1</v>
      </c>
      <c r="AO158" s="2" t="s">
        <v>60</v>
      </c>
      <c r="AP158" s="2">
        <v>0</v>
      </c>
    </row>
    <row r="159" spans="2:42" ht="15" customHeight="1" x14ac:dyDescent="0.15">
      <c r="G159" s="11">
        <v>1900</v>
      </c>
      <c r="H159" s="1" t="str">
        <f t="shared" si="12"/>
        <v>19A</v>
      </c>
      <c r="I159" s="1" t="str">
        <f t="shared" si="13"/>
        <v>19B</v>
      </c>
      <c r="J159" s="1" t="str">
        <f t="shared" si="14"/>
        <v>19C</v>
      </c>
      <c r="K159" s="1" t="str">
        <f t="shared" si="15"/>
        <v>19D</v>
      </c>
      <c r="L159" s="1" t="s">
        <v>1043</v>
      </c>
      <c r="M159" s="1" t="s">
        <v>1044</v>
      </c>
      <c r="N159" s="1" t="s">
        <v>1045</v>
      </c>
      <c r="O159" s="1" t="s">
        <v>1128</v>
      </c>
      <c r="P159" s="16"/>
      <c r="V159" s="77" t="str">
        <f t="shared" si="16"/>
        <v/>
      </c>
      <c r="W159" s="1">
        <f t="shared" si="17"/>
        <v>0</v>
      </c>
      <c r="X159" s="11" t="s">
        <v>1176</v>
      </c>
      <c r="Y159" s="1" t="s">
        <v>152</v>
      </c>
      <c r="Z159" s="1">
        <f t="shared" si="21"/>
        <v>0</v>
      </c>
      <c r="AA159" s="1">
        <v>1</v>
      </c>
      <c r="AB159" s="1">
        <f t="shared" si="19"/>
        <v>0</v>
      </c>
      <c r="AC159" s="1" t="str">
        <f>VLOOKUP("C01",trad_termini,ID_lingua,FALSE)</f>
        <v>R</v>
      </c>
      <c r="AD159" s="1">
        <f t="shared" si="22"/>
        <v>0</v>
      </c>
      <c r="AE159" s="16"/>
      <c r="AH159" s="2" t="s">
        <v>1569</v>
      </c>
      <c r="AI159" s="57">
        <v>0</v>
      </c>
      <c r="AJ159" s="2" t="s">
        <v>1176</v>
      </c>
      <c r="AK159" s="2" t="s">
        <v>1174</v>
      </c>
      <c r="AL159" s="2">
        <v>0</v>
      </c>
      <c r="AM159" s="2">
        <v>1</v>
      </c>
      <c r="AN159" s="2">
        <v>1</v>
      </c>
      <c r="AO159" s="2" t="s">
        <v>925</v>
      </c>
      <c r="AP159" s="2">
        <v>1</v>
      </c>
    </row>
    <row r="160" spans="2:42" ht="15" customHeight="1" x14ac:dyDescent="0.15">
      <c r="G160" s="11">
        <v>2000</v>
      </c>
      <c r="H160" s="1" t="str">
        <f t="shared" si="12"/>
        <v>20A</v>
      </c>
      <c r="I160" s="1" t="str">
        <f t="shared" si="13"/>
        <v>20B</v>
      </c>
      <c r="J160" s="1" t="str">
        <f t="shared" si="14"/>
        <v>20C</v>
      </c>
      <c r="K160" s="1" t="str">
        <f t="shared" si="15"/>
        <v>20D</v>
      </c>
      <c r="L160" s="1" t="s">
        <v>1049</v>
      </c>
      <c r="M160" s="1" t="s">
        <v>1050</v>
      </c>
      <c r="N160" s="1" t="s">
        <v>1051</v>
      </c>
      <c r="O160" s="1" t="s">
        <v>1129</v>
      </c>
      <c r="P160" s="16"/>
      <c r="V160" s="77" t="str">
        <f t="shared" si="16"/>
        <v/>
      </c>
      <c r="W160" s="1">
        <f t="shared" si="17"/>
        <v>0</v>
      </c>
      <c r="X160" s="11" t="s">
        <v>446</v>
      </c>
      <c r="Y160" s="1" t="s">
        <v>152</v>
      </c>
      <c r="Z160" s="1">
        <f t="shared" si="21"/>
        <v>0</v>
      </c>
      <c r="AA160" s="1">
        <v>1</v>
      </c>
      <c r="AB160" s="1">
        <f t="shared" si="19"/>
        <v>0</v>
      </c>
      <c r="AC160" s="1" t="str">
        <f>VLOOKUP("C02",trad_termini,ID_lingua,FALSE)</f>
        <v>L</v>
      </c>
      <c r="AD160" s="1">
        <f t="shared" si="22"/>
        <v>0</v>
      </c>
      <c r="AE160" s="16"/>
      <c r="AH160" s="2" t="s">
        <v>1569</v>
      </c>
      <c r="AI160" s="57">
        <v>0</v>
      </c>
      <c r="AJ160" s="2" t="s">
        <v>446</v>
      </c>
      <c r="AK160" s="2" t="s">
        <v>1175</v>
      </c>
      <c r="AL160" s="2">
        <v>0</v>
      </c>
      <c r="AM160" s="2">
        <v>1</v>
      </c>
      <c r="AN160" s="2">
        <v>1</v>
      </c>
      <c r="AO160" s="2" t="s">
        <v>925</v>
      </c>
      <c r="AP160" s="2">
        <v>1</v>
      </c>
    </row>
    <row r="161" spans="7:42" ht="15" customHeight="1" x14ac:dyDescent="0.15">
      <c r="G161" s="11">
        <v>2100</v>
      </c>
      <c r="H161" s="1" t="str">
        <f t="shared" si="12"/>
        <v>21A</v>
      </c>
      <c r="I161" s="1" t="str">
        <f t="shared" si="13"/>
        <v>21B</v>
      </c>
      <c r="J161" s="1" t="str">
        <f t="shared" si="14"/>
        <v>21C</v>
      </c>
      <c r="K161" s="1" t="str">
        <f t="shared" si="15"/>
        <v>21D</v>
      </c>
      <c r="L161" s="1" t="s">
        <v>1055</v>
      </c>
      <c r="M161" s="1" t="s">
        <v>1056</v>
      </c>
      <c r="N161" s="1" t="s">
        <v>1057</v>
      </c>
      <c r="O161" s="1" t="s">
        <v>1130</v>
      </c>
      <c r="P161" s="16"/>
      <c r="V161" s="77" t="str">
        <f t="shared" si="16"/>
        <v/>
      </c>
      <c r="W161" s="1">
        <f t="shared" si="17"/>
        <v>0</v>
      </c>
      <c r="X161" s="11" t="s">
        <v>925</v>
      </c>
      <c r="Y161" s="1" t="s">
        <v>154</v>
      </c>
      <c r="Z161" s="1">
        <f t="shared" si="21"/>
        <v>0</v>
      </c>
      <c r="AA161" s="1">
        <v>1</v>
      </c>
      <c r="AB161" s="1">
        <f t="shared" si="19"/>
        <v>0</v>
      </c>
      <c r="AC161" s="1" t="str">
        <f>VLOOKUP("C01",trad_termini,ID_lingua,FALSE)</f>
        <v>R</v>
      </c>
      <c r="AD161" s="1">
        <f t="shared" si="22"/>
        <v>0</v>
      </c>
      <c r="AE161" s="16"/>
      <c r="AH161" s="2" t="s">
        <v>1569</v>
      </c>
      <c r="AI161" s="57">
        <v>0</v>
      </c>
      <c r="AJ161" s="2" t="s">
        <v>925</v>
      </c>
      <c r="AK161" s="2" t="s">
        <v>1174</v>
      </c>
      <c r="AL161" s="2">
        <v>0</v>
      </c>
      <c r="AM161" s="2">
        <v>2</v>
      </c>
      <c r="AN161" s="2">
        <v>0</v>
      </c>
      <c r="AO161" s="2" t="s">
        <v>40</v>
      </c>
      <c r="AP161" s="2">
        <v>0</v>
      </c>
    </row>
    <row r="162" spans="7:42" ht="15" customHeight="1" x14ac:dyDescent="0.15">
      <c r="G162" s="11">
        <v>2200</v>
      </c>
      <c r="H162" s="1" t="str">
        <f t="shared" si="12"/>
        <v>22A</v>
      </c>
      <c r="I162" s="1" t="str">
        <f t="shared" si="13"/>
        <v>22B</v>
      </c>
      <c r="J162" s="1" t="str">
        <f t="shared" si="14"/>
        <v>22C</v>
      </c>
      <c r="K162" s="1" t="str">
        <f t="shared" si="15"/>
        <v>22D</v>
      </c>
      <c r="L162" s="1" t="s">
        <v>1061</v>
      </c>
      <c r="M162" s="1" t="s">
        <v>1062</v>
      </c>
      <c r="N162" s="1" t="s">
        <v>1063</v>
      </c>
      <c r="O162" s="1" t="s">
        <v>1131</v>
      </c>
      <c r="P162" s="16"/>
      <c r="V162" s="77" t="str">
        <f t="shared" si="16"/>
        <v/>
      </c>
      <c r="W162" s="1">
        <f t="shared" si="17"/>
        <v>0</v>
      </c>
      <c r="X162" s="11" t="s">
        <v>1177</v>
      </c>
      <c r="Y162" s="1" t="s">
        <v>154</v>
      </c>
      <c r="Z162" s="1">
        <f t="shared" si="21"/>
        <v>0</v>
      </c>
      <c r="AA162" s="1">
        <v>1</v>
      </c>
      <c r="AB162" s="1">
        <f t="shared" si="19"/>
        <v>0</v>
      </c>
      <c r="AC162" s="1" t="str">
        <f>VLOOKUP("C02",trad_termini,ID_lingua,FALSE)</f>
        <v>L</v>
      </c>
      <c r="AD162" s="1">
        <f t="shared" si="22"/>
        <v>0</v>
      </c>
      <c r="AE162" s="16"/>
      <c r="AH162" s="2" t="s">
        <v>1569</v>
      </c>
      <c r="AI162" s="57">
        <v>0</v>
      </c>
      <c r="AJ162" s="2" t="s">
        <v>1177</v>
      </c>
      <c r="AK162" s="2" t="s">
        <v>1175</v>
      </c>
      <c r="AL162" s="2">
        <v>0</v>
      </c>
      <c r="AM162" s="2">
        <v>2</v>
      </c>
      <c r="AN162" s="2">
        <v>0</v>
      </c>
      <c r="AO162" s="2" t="s">
        <v>40</v>
      </c>
      <c r="AP162" s="2">
        <v>0</v>
      </c>
    </row>
    <row r="163" spans="7:42" ht="15" customHeight="1" x14ac:dyDescent="0.15">
      <c r="G163" s="11">
        <v>2300</v>
      </c>
      <c r="H163" s="1" t="str">
        <f t="shared" si="12"/>
        <v>23A</v>
      </c>
      <c r="I163" s="1" t="str">
        <f t="shared" si="13"/>
        <v>23B</v>
      </c>
      <c r="J163" s="1" t="str">
        <f t="shared" si="14"/>
        <v>23C</v>
      </c>
      <c r="K163" s="1" t="str">
        <f t="shared" si="15"/>
        <v>23D</v>
      </c>
      <c r="L163" s="1" t="s">
        <v>1067</v>
      </c>
      <c r="M163" s="1" t="s">
        <v>1068</v>
      </c>
      <c r="N163" s="1" t="s">
        <v>1069</v>
      </c>
      <c r="O163" s="1" t="s">
        <v>1132</v>
      </c>
      <c r="P163" s="16"/>
      <c r="V163" s="77" t="str">
        <f t="shared" si="16"/>
        <v/>
      </c>
      <c r="W163" s="1">
        <f t="shared" si="17"/>
        <v>0</v>
      </c>
      <c r="X163" s="11" t="s">
        <v>1178</v>
      </c>
      <c r="Y163" s="1" t="s">
        <v>156</v>
      </c>
      <c r="Z163" s="1">
        <f t="shared" si="21"/>
        <v>0</v>
      </c>
      <c r="AA163" s="1">
        <v>1</v>
      </c>
      <c r="AB163" s="1">
        <f t="shared" si="19"/>
        <v>0</v>
      </c>
      <c r="AC163" s="1" t="str">
        <f>VLOOKUP("C01",trad_termini,ID_lingua,FALSE)</f>
        <v>R</v>
      </c>
      <c r="AD163" s="1">
        <f t="shared" si="22"/>
        <v>0</v>
      </c>
      <c r="AE163" s="16"/>
      <c r="AH163" s="2" t="s">
        <v>1569</v>
      </c>
      <c r="AI163" s="57">
        <v>0</v>
      </c>
      <c r="AJ163" s="2" t="s">
        <v>1178</v>
      </c>
      <c r="AK163" s="2" t="s">
        <v>1179</v>
      </c>
      <c r="AL163" s="2">
        <v>0</v>
      </c>
      <c r="AM163" s="2">
        <v>1</v>
      </c>
      <c r="AN163" s="2">
        <v>1</v>
      </c>
      <c r="AO163" s="2" t="s">
        <v>60</v>
      </c>
      <c r="AP163" s="2">
        <v>0</v>
      </c>
    </row>
    <row r="164" spans="7:42" ht="15" customHeight="1" x14ac:dyDescent="0.15">
      <c r="G164" s="11">
        <v>2400</v>
      </c>
      <c r="H164" s="1" t="str">
        <f t="shared" si="12"/>
        <v>24A</v>
      </c>
      <c r="I164" s="1" t="str">
        <f t="shared" si="13"/>
        <v>24B</v>
      </c>
      <c r="J164" s="1" t="str">
        <f t="shared" si="14"/>
        <v>24C</v>
      </c>
      <c r="K164" s="1" t="str">
        <f t="shared" si="15"/>
        <v>24D</v>
      </c>
      <c r="L164" s="1" t="s">
        <v>1073</v>
      </c>
      <c r="M164" s="1" t="s">
        <v>1074</v>
      </c>
      <c r="N164" s="1" t="s">
        <v>1075</v>
      </c>
      <c r="O164" s="1" t="s">
        <v>1133</v>
      </c>
      <c r="P164" s="16"/>
      <c r="V164" s="77" t="str">
        <f t="shared" si="16"/>
        <v/>
      </c>
      <c r="W164" s="1">
        <f t="shared" si="17"/>
        <v>0</v>
      </c>
      <c r="X164" s="11" t="s">
        <v>105</v>
      </c>
      <c r="Y164" s="1" t="s">
        <v>156</v>
      </c>
      <c r="Z164" s="1">
        <f t="shared" si="21"/>
        <v>0</v>
      </c>
      <c r="AA164" s="1">
        <v>1</v>
      </c>
      <c r="AB164" s="1">
        <f t="shared" si="19"/>
        <v>0</v>
      </c>
      <c r="AC164" s="1" t="str">
        <f>VLOOKUP("C02",trad_termini,ID_lingua,FALSE)</f>
        <v>L</v>
      </c>
      <c r="AD164" s="1">
        <f t="shared" si="22"/>
        <v>0</v>
      </c>
      <c r="AE164" s="16"/>
      <c r="AH164" s="2" t="s">
        <v>1569</v>
      </c>
      <c r="AI164" s="57">
        <v>0</v>
      </c>
      <c r="AJ164" s="2" t="s">
        <v>105</v>
      </c>
      <c r="AK164" s="2" t="s">
        <v>1180</v>
      </c>
      <c r="AL164" s="2">
        <v>0</v>
      </c>
      <c r="AM164" s="2">
        <v>1</v>
      </c>
      <c r="AN164" s="2">
        <v>1</v>
      </c>
      <c r="AO164" s="2" t="s">
        <v>60</v>
      </c>
      <c r="AP164" s="2">
        <v>0</v>
      </c>
    </row>
    <row r="165" spans="7:42" ht="15" customHeight="1" x14ac:dyDescent="0.15">
      <c r="G165" s="11">
        <v>2500</v>
      </c>
      <c r="H165" s="1" t="str">
        <f t="shared" si="12"/>
        <v>25A</v>
      </c>
      <c r="I165" s="1" t="str">
        <f t="shared" si="13"/>
        <v>25B</v>
      </c>
      <c r="J165" s="1" t="str">
        <f t="shared" si="14"/>
        <v>25C</v>
      </c>
      <c r="K165" s="1" t="str">
        <f t="shared" si="15"/>
        <v>25D</v>
      </c>
      <c r="L165" s="1" t="s">
        <v>1079</v>
      </c>
      <c r="M165" s="1" t="s">
        <v>1080</v>
      </c>
      <c r="N165" s="1" t="s">
        <v>1081</v>
      </c>
      <c r="O165" s="1" t="s">
        <v>1134</v>
      </c>
      <c r="P165" s="16"/>
      <c r="V165" s="77" t="str">
        <f t="shared" si="16"/>
        <v/>
      </c>
      <c r="W165" s="1">
        <f t="shared" si="17"/>
        <v>0</v>
      </c>
      <c r="X165" s="11" t="s">
        <v>926</v>
      </c>
      <c r="Y165" s="1" t="s">
        <v>158</v>
      </c>
      <c r="Z165" s="1">
        <f t="shared" si="21"/>
        <v>0</v>
      </c>
      <c r="AA165" s="1">
        <v>1</v>
      </c>
      <c r="AB165" s="1">
        <f t="shared" si="19"/>
        <v>0</v>
      </c>
      <c r="AC165" s="1" t="str">
        <f>VLOOKUP("C01",trad_termini,ID_lingua,FALSE)</f>
        <v>R</v>
      </c>
      <c r="AD165" s="1">
        <f t="shared" si="22"/>
        <v>0</v>
      </c>
      <c r="AE165" s="16"/>
      <c r="AH165" s="2" t="s">
        <v>1569</v>
      </c>
      <c r="AI165" s="57">
        <v>0</v>
      </c>
      <c r="AJ165" s="2" t="s">
        <v>926</v>
      </c>
      <c r="AK165" s="2" t="s">
        <v>1179</v>
      </c>
      <c r="AL165" s="2">
        <v>0</v>
      </c>
      <c r="AM165" s="2">
        <v>1</v>
      </c>
      <c r="AN165" s="2">
        <v>1</v>
      </c>
      <c r="AO165" s="2" t="s">
        <v>925</v>
      </c>
      <c r="AP165" s="2">
        <v>1</v>
      </c>
    </row>
    <row r="166" spans="7:42" ht="15" customHeight="1" x14ac:dyDescent="0.15">
      <c r="G166" s="11">
        <v>2600</v>
      </c>
      <c r="H166" s="1" t="str">
        <f t="shared" si="12"/>
        <v>26A</v>
      </c>
      <c r="I166" s="1" t="str">
        <f t="shared" si="13"/>
        <v>26B</v>
      </c>
      <c r="J166" s="1" t="str">
        <f t="shared" si="14"/>
        <v>26C</v>
      </c>
      <c r="K166" s="1" t="str">
        <f t="shared" si="15"/>
        <v>26D</v>
      </c>
      <c r="L166" s="1" t="s">
        <v>1085</v>
      </c>
      <c r="M166" s="1" t="s">
        <v>1086</v>
      </c>
      <c r="N166" s="1" t="s">
        <v>1087</v>
      </c>
      <c r="O166" s="1" t="s">
        <v>1135</v>
      </c>
      <c r="P166" s="16"/>
      <c r="V166" s="77" t="str">
        <f t="shared" si="16"/>
        <v/>
      </c>
      <c r="W166" s="1">
        <f t="shared" si="17"/>
        <v>0</v>
      </c>
      <c r="X166" s="11" t="s">
        <v>185</v>
      </c>
      <c r="Y166" s="1" t="s">
        <v>158</v>
      </c>
      <c r="Z166" s="1">
        <f t="shared" si="21"/>
        <v>0</v>
      </c>
      <c r="AA166" s="1">
        <v>1</v>
      </c>
      <c r="AB166" s="1">
        <f t="shared" si="19"/>
        <v>0</v>
      </c>
      <c r="AC166" s="1" t="str">
        <f>VLOOKUP("C02",trad_termini,ID_lingua,FALSE)</f>
        <v>L</v>
      </c>
      <c r="AD166" s="1">
        <f t="shared" si="22"/>
        <v>0</v>
      </c>
      <c r="AE166" s="16"/>
      <c r="AH166" s="2" t="s">
        <v>1569</v>
      </c>
      <c r="AI166" s="57">
        <v>0</v>
      </c>
      <c r="AJ166" s="2" t="s">
        <v>185</v>
      </c>
      <c r="AK166" s="2" t="s">
        <v>1180</v>
      </c>
      <c r="AL166" s="2">
        <v>0</v>
      </c>
      <c r="AM166" s="2">
        <v>1</v>
      </c>
      <c r="AN166" s="2">
        <v>1</v>
      </c>
      <c r="AO166" s="2" t="s">
        <v>925</v>
      </c>
      <c r="AP166" s="2">
        <v>1</v>
      </c>
    </row>
    <row r="167" spans="7:42" ht="15" customHeight="1" x14ac:dyDescent="0.15">
      <c r="G167" s="11">
        <v>2700</v>
      </c>
      <c r="H167" s="1" t="str">
        <f t="shared" si="12"/>
        <v>27A</v>
      </c>
      <c r="I167" s="1" t="str">
        <f t="shared" si="13"/>
        <v>27B</v>
      </c>
      <c r="J167" s="1" t="str">
        <f t="shared" si="14"/>
        <v>27C</v>
      </c>
      <c r="K167" s="1" t="str">
        <f t="shared" si="15"/>
        <v>27D</v>
      </c>
      <c r="L167" s="1" t="s">
        <v>1091</v>
      </c>
      <c r="M167" s="1" t="s">
        <v>1092</v>
      </c>
      <c r="N167" s="1" t="s">
        <v>1093</v>
      </c>
      <c r="O167" s="1" t="s">
        <v>1136</v>
      </c>
      <c r="P167" s="16"/>
      <c r="V167" s="77" t="str">
        <f t="shared" si="16"/>
        <v/>
      </c>
      <c r="W167" s="1">
        <f t="shared" si="17"/>
        <v>0</v>
      </c>
      <c r="X167" s="11" t="s">
        <v>1677</v>
      </c>
      <c r="Y167" s="1" t="s">
        <v>1689</v>
      </c>
      <c r="Z167" s="1">
        <f t="shared" ref="Z167:Z184" si="23">IF(AND(mrid=Y167,flg_mrid_tipo="K"),1,0)</f>
        <v>0</v>
      </c>
      <c r="AA167" s="1">
        <v>1</v>
      </c>
      <c r="AB167" s="1">
        <f t="shared" si="19"/>
        <v>0</v>
      </c>
      <c r="AC167" s="1" t="str">
        <f>VLOOKUP("C01",trad_termini,ID_lingua,FALSE)</f>
        <v>R</v>
      </c>
      <c r="AD167" s="1">
        <f t="shared" ref="AD167:AD184" si="24">IF(AND(flg_mrid_lato=AC167,flg_mrid_tipo="K"),1,0)</f>
        <v>0</v>
      </c>
      <c r="AE167" s="16"/>
      <c r="AH167" s="2" t="s">
        <v>1569</v>
      </c>
      <c r="AI167" s="57">
        <v>0</v>
      </c>
      <c r="AJ167" s="2" t="s">
        <v>1181</v>
      </c>
      <c r="AK167" s="2" t="s">
        <v>1179</v>
      </c>
      <c r="AL167" s="2">
        <v>0</v>
      </c>
      <c r="AM167" s="2">
        <v>2</v>
      </c>
      <c r="AN167" s="2">
        <v>0</v>
      </c>
      <c r="AO167" s="2" t="s">
        <v>40</v>
      </c>
      <c r="AP167" s="2">
        <v>0</v>
      </c>
    </row>
    <row r="168" spans="7:42" ht="15" customHeight="1" x14ac:dyDescent="0.15">
      <c r="G168" s="11">
        <v>2800</v>
      </c>
      <c r="H168" s="1" t="str">
        <f t="shared" si="12"/>
        <v>28A</v>
      </c>
      <c r="I168" s="1" t="str">
        <f t="shared" si="13"/>
        <v>28B</v>
      </c>
      <c r="J168" s="1" t="str">
        <f t="shared" si="14"/>
        <v>28C</v>
      </c>
      <c r="K168" s="1" t="str">
        <f t="shared" si="15"/>
        <v>28D</v>
      </c>
      <c r="L168" s="1" t="s">
        <v>1097</v>
      </c>
      <c r="M168" s="1" t="s">
        <v>1098</v>
      </c>
      <c r="N168" s="1" t="s">
        <v>1099</v>
      </c>
      <c r="O168" s="1" t="s">
        <v>1137</v>
      </c>
      <c r="P168" s="16"/>
      <c r="V168" s="77" t="str">
        <f t="shared" si="16"/>
        <v/>
      </c>
      <c r="W168" s="1">
        <f t="shared" si="17"/>
        <v>0</v>
      </c>
      <c r="X168" s="11" t="s">
        <v>1678</v>
      </c>
      <c r="Y168" s="1" t="s">
        <v>1689</v>
      </c>
      <c r="Z168" s="1">
        <f t="shared" si="23"/>
        <v>0</v>
      </c>
      <c r="AA168" s="1">
        <v>1</v>
      </c>
      <c r="AB168" s="1">
        <f t="shared" si="19"/>
        <v>0</v>
      </c>
      <c r="AC168" s="1" t="str">
        <f>VLOOKUP("C02",trad_termini,ID_lingua,FALSE)</f>
        <v>L</v>
      </c>
      <c r="AD168" s="1">
        <f t="shared" si="24"/>
        <v>0</v>
      </c>
      <c r="AE168" s="16"/>
      <c r="AH168" s="2" t="s">
        <v>1569</v>
      </c>
      <c r="AI168" s="57">
        <v>0</v>
      </c>
      <c r="AJ168" s="2" t="s">
        <v>805</v>
      </c>
      <c r="AK168" s="2" t="s">
        <v>1180</v>
      </c>
      <c r="AL168" s="2">
        <v>0</v>
      </c>
      <c r="AM168" s="2">
        <v>2</v>
      </c>
      <c r="AN168" s="2">
        <v>0</v>
      </c>
      <c r="AO168" s="2" t="s">
        <v>40</v>
      </c>
      <c r="AP168" s="2">
        <v>0</v>
      </c>
    </row>
    <row r="169" spans="7:42" ht="15" customHeight="1" x14ac:dyDescent="0.15">
      <c r="G169" s="11">
        <v>2900</v>
      </c>
      <c r="H169" s="1" t="str">
        <f t="shared" si="12"/>
        <v>29A</v>
      </c>
      <c r="I169" s="1" t="str">
        <f t="shared" si="13"/>
        <v>29B</v>
      </c>
      <c r="J169" s="1" t="str">
        <f t="shared" si="14"/>
        <v>29C</v>
      </c>
      <c r="K169" s="1" t="str">
        <f t="shared" si="15"/>
        <v>29D</v>
      </c>
      <c r="L169" s="1" t="s">
        <v>1103</v>
      </c>
      <c r="M169" s="1" t="s">
        <v>1104</v>
      </c>
      <c r="N169" s="1" t="s">
        <v>1105</v>
      </c>
      <c r="O169" s="1" t="s">
        <v>1138</v>
      </c>
      <c r="P169" s="16"/>
      <c r="V169" s="77" t="str">
        <f t="shared" si="16"/>
        <v/>
      </c>
      <c r="W169" s="1">
        <f t="shared" si="17"/>
        <v>0</v>
      </c>
      <c r="X169" s="11" t="s">
        <v>1679</v>
      </c>
      <c r="Y169" s="1" t="s">
        <v>1689</v>
      </c>
      <c r="Z169" s="1">
        <f t="shared" si="23"/>
        <v>0</v>
      </c>
      <c r="AA169" s="1">
        <v>2</v>
      </c>
      <c r="AB169" s="1">
        <f t="shared" si="19"/>
        <v>1</v>
      </c>
      <c r="AC169" s="1" t="s">
        <v>40</v>
      </c>
      <c r="AD169" s="1">
        <f t="shared" si="24"/>
        <v>1</v>
      </c>
      <c r="AE169" s="16"/>
      <c r="AH169" s="2" t="s">
        <v>1569</v>
      </c>
      <c r="AI169" s="57">
        <v>0</v>
      </c>
      <c r="AJ169" s="2" t="s">
        <v>1182</v>
      </c>
      <c r="AK169" s="2" t="s">
        <v>150</v>
      </c>
      <c r="AL169" s="2">
        <v>0</v>
      </c>
      <c r="AM169" s="2">
        <v>1</v>
      </c>
      <c r="AN169" s="2">
        <v>1</v>
      </c>
      <c r="AO169" s="2" t="s">
        <v>60</v>
      </c>
      <c r="AP169" s="2">
        <v>0</v>
      </c>
    </row>
    <row r="170" spans="7:42" ht="15" customHeight="1" x14ac:dyDescent="0.15">
      <c r="G170" s="11">
        <v>3000</v>
      </c>
      <c r="H170" s="1" t="str">
        <f t="shared" si="12"/>
        <v>30A</v>
      </c>
      <c r="I170" s="1" t="str">
        <f t="shared" si="13"/>
        <v>30B</v>
      </c>
      <c r="J170" s="1" t="str">
        <f t="shared" si="14"/>
        <v>30C</v>
      </c>
      <c r="K170" s="1" t="str">
        <f t="shared" si="15"/>
        <v>30D</v>
      </c>
      <c r="L170" s="1" t="s">
        <v>1109</v>
      </c>
      <c r="M170" s="1" t="s">
        <v>1110</v>
      </c>
      <c r="N170" s="1" t="s">
        <v>1111</v>
      </c>
      <c r="O170" s="1" t="s">
        <v>1139</v>
      </c>
      <c r="P170" s="16"/>
      <c r="V170" s="77" t="str">
        <f t="shared" si="16"/>
        <v/>
      </c>
      <c r="W170" s="1">
        <f t="shared" si="17"/>
        <v>0</v>
      </c>
      <c r="X170" s="11" t="s">
        <v>1680</v>
      </c>
      <c r="Y170" s="1" t="s">
        <v>1690</v>
      </c>
      <c r="Z170" s="1">
        <f t="shared" si="23"/>
        <v>0</v>
      </c>
      <c r="AA170" s="1">
        <v>1</v>
      </c>
      <c r="AB170" s="1">
        <f t="shared" si="19"/>
        <v>0</v>
      </c>
      <c r="AC170" s="1" t="str">
        <f>VLOOKUP("C01",trad_termini,ID_lingua,FALSE)</f>
        <v>R</v>
      </c>
      <c r="AD170" s="1">
        <f t="shared" si="24"/>
        <v>0</v>
      </c>
      <c r="AE170" s="16"/>
      <c r="AH170" s="2" t="s">
        <v>1569</v>
      </c>
      <c r="AI170" s="57">
        <v>0</v>
      </c>
      <c r="AJ170" s="2" t="s">
        <v>1183</v>
      </c>
      <c r="AK170" s="2" t="s">
        <v>150</v>
      </c>
      <c r="AL170" s="2">
        <v>0</v>
      </c>
      <c r="AM170" s="2">
        <v>1</v>
      </c>
      <c r="AN170" s="2">
        <v>1</v>
      </c>
      <c r="AO170" s="2" t="s">
        <v>925</v>
      </c>
      <c r="AP170" s="2">
        <v>0</v>
      </c>
    </row>
    <row r="171" spans="7:42" ht="15" customHeight="1" x14ac:dyDescent="0.15">
      <c r="G171" s="66" t="s">
        <v>40</v>
      </c>
      <c r="H171" s="16"/>
      <c r="I171" s="16"/>
      <c r="J171" s="16"/>
      <c r="K171" s="16"/>
      <c r="L171" s="16"/>
      <c r="M171" s="16"/>
      <c r="N171" s="16"/>
      <c r="O171" s="16"/>
      <c r="P171" s="16"/>
      <c r="V171" s="77" t="str">
        <f t="shared" si="16"/>
        <v/>
      </c>
      <c r="W171" s="1">
        <f t="shared" si="17"/>
        <v>0</v>
      </c>
      <c r="X171" s="11" t="s">
        <v>1681</v>
      </c>
      <c r="Y171" s="1" t="s">
        <v>1690</v>
      </c>
      <c r="Z171" s="1">
        <f t="shared" si="23"/>
        <v>0</v>
      </c>
      <c r="AA171" s="1">
        <v>1</v>
      </c>
      <c r="AB171" s="1">
        <f t="shared" si="19"/>
        <v>0</v>
      </c>
      <c r="AC171" s="1" t="str">
        <f>VLOOKUP("C02",trad_termini,ID_lingua,FALSE)</f>
        <v>L</v>
      </c>
      <c r="AD171" s="1">
        <f t="shared" si="24"/>
        <v>0</v>
      </c>
      <c r="AE171" s="16"/>
      <c r="AH171" s="2" t="s">
        <v>1569</v>
      </c>
      <c r="AI171" s="57">
        <v>0</v>
      </c>
      <c r="AJ171" s="2" t="s">
        <v>1184</v>
      </c>
      <c r="AK171" s="2" t="s">
        <v>152</v>
      </c>
      <c r="AL171" s="2">
        <v>0</v>
      </c>
      <c r="AM171" s="2">
        <v>1</v>
      </c>
      <c r="AN171" s="2">
        <v>1</v>
      </c>
      <c r="AO171" s="2" t="s">
        <v>60</v>
      </c>
      <c r="AP171" s="2">
        <v>0</v>
      </c>
    </row>
    <row r="172" spans="7:42" ht="15" customHeight="1" x14ac:dyDescent="0.15">
      <c r="G172" s="12">
        <v>1</v>
      </c>
      <c r="H172" s="12">
        <v>2</v>
      </c>
      <c r="I172" s="12">
        <v>3</v>
      </c>
      <c r="J172" s="12">
        <v>4</v>
      </c>
      <c r="K172" s="12">
        <v>5</v>
      </c>
      <c r="L172" s="12">
        <v>6</v>
      </c>
      <c r="M172" s="12">
        <v>7</v>
      </c>
      <c r="N172" s="12">
        <v>8</v>
      </c>
      <c r="O172" s="12">
        <v>9</v>
      </c>
      <c r="P172" s="12">
        <v>10</v>
      </c>
      <c r="V172" s="77" t="str">
        <f t="shared" si="16"/>
        <v/>
      </c>
      <c r="W172" s="1">
        <f t="shared" si="17"/>
        <v>0</v>
      </c>
      <c r="X172" s="11" t="s">
        <v>1682</v>
      </c>
      <c r="Y172" s="1" t="s">
        <v>1690</v>
      </c>
      <c r="Z172" s="1">
        <f t="shared" si="23"/>
        <v>0</v>
      </c>
      <c r="AA172" s="1">
        <v>2</v>
      </c>
      <c r="AB172" s="1">
        <f t="shared" si="19"/>
        <v>1</v>
      </c>
      <c r="AC172" s="1" t="s">
        <v>40</v>
      </c>
      <c r="AD172" s="1">
        <f t="shared" si="24"/>
        <v>1</v>
      </c>
      <c r="AE172" s="16"/>
      <c r="AH172" s="2" t="s">
        <v>1569</v>
      </c>
      <c r="AI172" s="57">
        <v>0</v>
      </c>
      <c r="AJ172" s="2" t="s">
        <v>1185</v>
      </c>
      <c r="AK172" s="2" t="s">
        <v>152</v>
      </c>
      <c r="AL172" s="2">
        <v>0</v>
      </c>
      <c r="AM172" s="2">
        <v>1</v>
      </c>
      <c r="AN172" s="2">
        <v>1</v>
      </c>
      <c r="AO172" s="2" t="s">
        <v>925</v>
      </c>
      <c r="AP172" s="2">
        <v>0</v>
      </c>
    </row>
    <row r="173" spans="7:42" ht="15" customHeight="1" x14ac:dyDescent="0.15">
      <c r="V173" s="77" t="str">
        <f t="shared" si="16"/>
        <v/>
      </c>
      <c r="W173" s="1">
        <f t="shared" si="17"/>
        <v>0</v>
      </c>
      <c r="X173" s="11" t="s">
        <v>1683</v>
      </c>
      <c r="Y173" s="1" t="s">
        <v>1675</v>
      </c>
      <c r="Z173" s="1">
        <f t="shared" si="23"/>
        <v>0</v>
      </c>
      <c r="AA173" s="1">
        <v>1</v>
      </c>
      <c r="AB173" s="1">
        <f t="shared" si="19"/>
        <v>0</v>
      </c>
      <c r="AC173" s="1" t="str">
        <f>VLOOKUP("C01",trad_termini,ID_lingua,FALSE)</f>
        <v>R</v>
      </c>
      <c r="AD173" s="1">
        <f t="shared" si="24"/>
        <v>0</v>
      </c>
      <c r="AE173" s="16"/>
      <c r="AH173" s="2" t="s">
        <v>1569</v>
      </c>
      <c r="AI173" s="57">
        <v>0</v>
      </c>
      <c r="AJ173" s="2" t="s">
        <v>1186</v>
      </c>
      <c r="AK173" s="2" t="s">
        <v>154</v>
      </c>
      <c r="AL173" s="2">
        <v>0</v>
      </c>
      <c r="AM173" s="2">
        <v>1</v>
      </c>
      <c r="AN173" s="2">
        <v>1</v>
      </c>
      <c r="AO173" s="2" t="s">
        <v>60</v>
      </c>
      <c r="AP173" s="2">
        <v>0</v>
      </c>
    </row>
    <row r="174" spans="7:42" ht="15" customHeight="1" x14ac:dyDescent="0.15">
      <c r="V174" s="77" t="str">
        <f t="shared" si="16"/>
        <v/>
      </c>
      <c r="W174" s="1">
        <f t="shared" si="17"/>
        <v>0</v>
      </c>
      <c r="X174" s="11" t="s">
        <v>1684</v>
      </c>
      <c r="Y174" s="1" t="s">
        <v>1675</v>
      </c>
      <c r="Z174" s="1">
        <f t="shared" si="23"/>
        <v>0</v>
      </c>
      <c r="AA174" s="1">
        <v>1</v>
      </c>
      <c r="AB174" s="1">
        <f t="shared" si="19"/>
        <v>0</v>
      </c>
      <c r="AC174" s="1" t="str">
        <f>VLOOKUP("C02",trad_termini,ID_lingua,FALSE)</f>
        <v>L</v>
      </c>
      <c r="AD174" s="1">
        <f t="shared" si="24"/>
        <v>0</v>
      </c>
      <c r="AE174" s="16"/>
      <c r="AH174" s="2" t="s">
        <v>1569</v>
      </c>
      <c r="AI174" s="57">
        <v>0</v>
      </c>
      <c r="AJ174" s="2" t="s">
        <v>1187</v>
      </c>
      <c r="AK174" s="2" t="s">
        <v>154</v>
      </c>
      <c r="AL174" s="2">
        <v>0</v>
      </c>
      <c r="AM174" s="2">
        <v>1</v>
      </c>
      <c r="AN174" s="2">
        <v>1</v>
      </c>
      <c r="AO174" s="2" t="s">
        <v>925</v>
      </c>
      <c r="AP174" s="2">
        <v>0</v>
      </c>
    </row>
    <row r="175" spans="7:42" ht="15" customHeight="1" x14ac:dyDescent="0.15">
      <c r="V175" s="77" t="str">
        <f t="shared" si="16"/>
        <v/>
      </c>
      <c r="W175" s="1">
        <f t="shared" si="17"/>
        <v>0</v>
      </c>
      <c r="X175" s="11" t="s">
        <v>1685</v>
      </c>
      <c r="Y175" s="1" t="s">
        <v>1675</v>
      </c>
      <c r="Z175" s="1">
        <f t="shared" si="23"/>
        <v>0</v>
      </c>
      <c r="AA175" s="1">
        <v>2</v>
      </c>
      <c r="AB175" s="1">
        <f t="shared" si="19"/>
        <v>1</v>
      </c>
      <c r="AC175" s="1" t="s">
        <v>40</v>
      </c>
      <c r="AD175" s="1">
        <f t="shared" si="24"/>
        <v>1</v>
      </c>
      <c r="AE175" s="16"/>
      <c r="AH175" s="2" t="s">
        <v>1569</v>
      </c>
      <c r="AI175" s="57">
        <v>0</v>
      </c>
      <c r="AJ175" s="2" t="s">
        <v>1188</v>
      </c>
      <c r="AK175" s="2" t="s">
        <v>156</v>
      </c>
      <c r="AL175" s="2">
        <v>0</v>
      </c>
      <c r="AM175" s="2">
        <v>1</v>
      </c>
      <c r="AN175" s="2">
        <v>1</v>
      </c>
      <c r="AO175" s="2" t="s">
        <v>60</v>
      </c>
      <c r="AP175" s="2">
        <v>0</v>
      </c>
    </row>
    <row r="176" spans="7:42" ht="15" customHeight="1" x14ac:dyDescent="0.15">
      <c r="V176" s="77" t="str">
        <f t="shared" si="16"/>
        <v/>
      </c>
      <c r="W176" s="1">
        <f t="shared" si="17"/>
        <v>0</v>
      </c>
      <c r="X176" s="11" t="s">
        <v>1686</v>
      </c>
      <c r="Y176" s="1" t="s">
        <v>1676</v>
      </c>
      <c r="Z176" s="1">
        <f t="shared" si="23"/>
        <v>0</v>
      </c>
      <c r="AA176" s="1">
        <v>1</v>
      </c>
      <c r="AB176" s="1">
        <f t="shared" si="19"/>
        <v>0</v>
      </c>
      <c r="AC176" s="1" t="str">
        <f>VLOOKUP("C01",trad_termini,ID_lingua,FALSE)</f>
        <v>R</v>
      </c>
      <c r="AD176" s="1">
        <f t="shared" si="24"/>
        <v>0</v>
      </c>
      <c r="AE176" s="16"/>
      <c r="AH176" s="2" t="s">
        <v>1569</v>
      </c>
      <c r="AI176" s="57">
        <v>0</v>
      </c>
      <c r="AJ176" s="2" t="s">
        <v>1189</v>
      </c>
      <c r="AK176" s="2" t="s">
        <v>156</v>
      </c>
      <c r="AL176" s="2">
        <v>0</v>
      </c>
      <c r="AM176" s="2">
        <v>1</v>
      </c>
      <c r="AN176" s="2">
        <v>1</v>
      </c>
      <c r="AO176" s="2" t="s">
        <v>925</v>
      </c>
      <c r="AP176" s="2">
        <v>0</v>
      </c>
    </row>
    <row r="177" spans="22:42" ht="15" customHeight="1" x14ac:dyDescent="0.15">
      <c r="V177" s="77" t="str">
        <f t="shared" si="16"/>
        <v/>
      </c>
      <c r="W177" s="1">
        <f t="shared" si="17"/>
        <v>0</v>
      </c>
      <c r="X177" s="11" t="s">
        <v>1687</v>
      </c>
      <c r="Y177" s="1" t="s">
        <v>1676</v>
      </c>
      <c r="Z177" s="1">
        <f t="shared" si="23"/>
        <v>0</v>
      </c>
      <c r="AA177" s="1">
        <v>1</v>
      </c>
      <c r="AB177" s="1">
        <f t="shared" si="19"/>
        <v>0</v>
      </c>
      <c r="AC177" s="1" t="str">
        <f>VLOOKUP("C02",trad_termini,ID_lingua,FALSE)</f>
        <v>L</v>
      </c>
      <c r="AD177" s="1">
        <f t="shared" si="24"/>
        <v>0</v>
      </c>
      <c r="AE177" s="16"/>
      <c r="AH177" s="2" t="s">
        <v>1569</v>
      </c>
      <c r="AI177" s="57">
        <v>0</v>
      </c>
      <c r="AJ177" s="2" t="s">
        <v>1190</v>
      </c>
      <c r="AK177" s="2" t="s">
        <v>158</v>
      </c>
      <c r="AL177" s="2">
        <v>0</v>
      </c>
      <c r="AM177" s="2">
        <v>1</v>
      </c>
      <c r="AN177" s="2">
        <v>1</v>
      </c>
      <c r="AO177" s="2" t="s">
        <v>60</v>
      </c>
      <c r="AP177" s="2">
        <v>0</v>
      </c>
    </row>
    <row r="178" spans="22:42" ht="15" customHeight="1" x14ac:dyDescent="0.15">
      <c r="V178" s="77" t="str">
        <f t="shared" si="16"/>
        <v/>
      </c>
      <c r="W178" s="1">
        <f t="shared" si="17"/>
        <v>0</v>
      </c>
      <c r="X178" s="11" t="s">
        <v>1688</v>
      </c>
      <c r="Y178" s="1" t="s">
        <v>1676</v>
      </c>
      <c r="Z178" s="1">
        <f t="shared" si="23"/>
        <v>0</v>
      </c>
      <c r="AA178" s="1">
        <v>2</v>
      </c>
      <c r="AB178" s="1">
        <f t="shared" si="19"/>
        <v>1</v>
      </c>
      <c r="AC178" s="1" t="s">
        <v>40</v>
      </c>
      <c r="AD178" s="1">
        <f t="shared" si="24"/>
        <v>1</v>
      </c>
      <c r="AE178" s="16"/>
      <c r="AH178" s="2" t="s">
        <v>1569</v>
      </c>
      <c r="AI178" s="57">
        <v>0</v>
      </c>
      <c r="AJ178" s="2" t="s">
        <v>1191</v>
      </c>
      <c r="AK178" s="2" t="s">
        <v>158</v>
      </c>
      <c r="AL178" s="2">
        <v>0</v>
      </c>
      <c r="AM178" s="2">
        <v>1</v>
      </c>
      <c r="AN178" s="2">
        <v>1</v>
      </c>
      <c r="AO178" s="2" t="s">
        <v>925</v>
      </c>
      <c r="AP178" s="2">
        <v>0</v>
      </c>
    </row>
    <row r="179" spans="22:42" ht="15" customHeight="1" x14ac:dyDescent="0.15">
      <c r="V179" s="77"/>
      <c r="W179" s="1">
        <f t="shared" si="17"/>
        <v>0</v>
      </c>
      <c r="X179" s="11" t="s">
        <v>1712</v>
      </c>
      <c r="Y179" s="1" t="s">
        <v>1703</v>
      </c>
      <c r="Z179" s="1">
        <f t="shared" si="23"/>
        <v>0</v>
      </c>
      <c r="AA179" s="1">
        <v>1</v>
      </c>
      <c r="AB179" s="1">
        <f t="shared" si="19"/>
        <v>0</v>
      </c>
      <c r="AC179" s="1" t="str">
        <f>VLOOKUP("C01",trad_termini,ID_lingua,FALSE)</f>
        <v>R</v>
      </c>
      <c r="AD179" s="1">
        <f t="shared" si="24"/>
        <v>0</v>
      </c>
      <c r="AE179" s="16"/>
    </row>
    <row r="180" spans="22:42" ht="15" customHeight="1" x14ac:dyDescent="0.15">
      <c r="V180" s="77"/>
      <c r="W180" s="1">
        <f t="shared" si="17"/>
        <v>0</v>
      </c>
      <c r="X180" s="11" t="s">
        <v>1713</v>
      </c>
      <c r="Y180" s="1" t="s">
        <v>1703</v>
      </c>
      <c r="Z180" s="1">
        <f t="shared" si="23"/>
        <v>0</v>
      </c>
      <c r="AA180" s="1">
        <v>1</v>
      </c>
      <c r="AB180" s="1">
        <f t="shared" si="19"/>
        <v>0</v>
      </c>
      <c r="AC180" s="1" t="str">
        <f>VLOOKUP("C02",trad_termini,ID_lingua,FALSE)</f>
        <v>L</v>
      </c>
      <c r="AD180" s="1">
        <f t="shared" si="24"/>
        <v>0</v>
      </c>
      <c r="AE180" s="16"/>
    </row>
    <row r="181" spans="22:42" ht="15" customHeight="1" x14ac:dyDescent="0.15">
      <c r="V181" s="77"/>
      <c r="W181" s="1">
        <f t="shared" si="17"/>
        <v>0</v>
      </c>
      <c r="X181" s="11" t="s">
        <v>1714</v>
      </c>
      <c r="Y181" s="1" t="s">
        <v>1703</v>
      </c>
      <c r="Z181" s="1">
        <f t="shared" si="23"/>
        <v>0</v>
      </c>
      <c r="AA181" s="1">
        <v>2</v>
      </c>
      <c r="AB181" s="1">
        <f t="shared" si="19"/>
        <v>1</v>
      </c>
      <c r="AC181" s="1" t="s">
        <v>40</v>
      </c>
      <c r="AD181" s="1">
        <f t="shared" si="24"/>
        <v>1</v>
      </c>
      <c r="AE181" s="16"/>
    </row>
    <row r="182" spans="22:42" ht="15" customHeight="1" x14ac:dyDescent="0.15">
      <c r="V182" s="77"/>
      <c r="W182" s="1">
        <f t="shared" si="17"/>
        <v>0</v>
      </c>
      <c r="X182" s="11" t="s">
        <v>1715</v>
      </c>
      <c r="Y182" s="1" t="s">
        <v>1704</v>
      </c>
      <c r="Z182" s="1">
        <f t="shared" si="23"/>
        <v>0</v>
      </c>
      <c r="AA182" s="1">
        <v>1</v>
      </c>
      <c r="AB182" s="1">
        <f t="shared" si="19"/>
        <v>0</v>
      </c>
      <c r="AC182" s="1" t="str">
        <f>VLOOKUP("C01",trad_termini,ID_lingua,FALSE)</f>
        <v>R</v>
      </c>
      <c r="AD182" s="1">
        <f t="shared" si="24"/>
        <v>0</v>
      </c>
      <c r="AE182" s="16"/>
    </row>
    <row r="183" spans="22:42" ht="15" customHeight="1" x14ac:dyDescent="0.15">
      <c r="V183" s="77"/>
      <c r="W183" s="1">
        <f t="shared" si="17"/>
        <v>0</v>
      </c>
      <c r="X183" s="11" t="s">
        <v>1716</v>
      </c>
      <c r="Y183" s="1" t="s">
        <v>1704</v>
      </c>
      <c r="Z183" s="1">
        <f t="shared" si="23"/>
        <v>0</v>
      </c>
      <c r="AA183" s="1">
        <v>1</v>
      </c>
      <c r="AB183" s="1">
        <f t="shared" si="19"/>
        <v>0</v>
      </c>
      <c r="AC183" s="1" t="str">
        <f>VLOOKUP("C02",trad_termini,ID_lingua,FALSE)</f>
        <v>L</v>
      </c>
      <c r="AD183" s="1">
        <f t="shared" si="24"/>
        <v>0</v>
      </c>
      <c r="AE183" s="16"/>
    </row>
    <row r="184" spans="22:42" ht="15" customHeight="1" x14ac:dyDescent="0.15">
      <c r="V184" s="77"/>
      <c r="W184" s="1">
        <f t="shared" si="17"/>
        <v>0</v>
      </c>
      <c r="X184" s="11" t="s">
        <v>1717</v>
      </c>
      <c r="Y184" s="1" t="s">
        <v>1704</v>
      </c>
      <c r="Z184" s="1">
        <f t="shared" si="23"/>
        <v>0</v>
      </c>
      <c r="AA184" s="1">
        <v>2</v>
      </c>
      <c r="AB184" s="1">
        <f t="shared" si="19"/>
        <v>1</v>
      </c>
      <c r="AC184" s="1" t="s">
        <v>40</v>
      </c>
      <c r="AD184" s="1">
        <f t="shared" si="24"/>
        <v>1</v>
      </c>
      <c r="AE184" s="16"/>
    </row>
    <row r="185" spans="22:42" ht="15" customHeight="1" x14ac:dyDescent="0.15">
      <c r="V185" s="29"/>
      <c r="W185" s="16"/>
      <c r="X185" s="71"/>
      <c r="Y185" s="17"/>
      <c r="Z185" s="16"/>
      <c r="AA185" s="16"/>
      <c r="AB185" s="16"/>
      <c r="AC185" s="16"/>
      <c r="AD185" s="16"/>
      <c r="AE185" s="16"/>
    </row>
    <row r="186" spans="22:42" ht="15" customHeight="1" x14ac:dyDescent="0.15">
      <c r="X186" s="14"/>
    </row>
    <row r="187" spans="22:42" ht="15" customHeight="1" x14ac:dyDescent="0.15">
      <c r="X187" s="14"/>
    </row>
    <row r="188" spans="22:42" ht="15" customHeight="1" x14ac:dyDescent="0.15">
      <c r="X188" s="14"/>
    </row>
    <row r="189" spans="22:42" ht="15" customHeight="1" x14ac:dyDescent="0.15">
      <c r="X189" s="14"/>
    </row>
    <row r="190" spans="22:42" ht="15" customHeight="1" x14ac:dyDescent="0.15">
      <c r="X190" s="14"/>
    </row>
    <row r="191" spans="22:42" ht="15" customHeight="1" x14ac:dyDescent="0.15">
      <c r="X191" s="14"/>
    </row>
    <row r="192" spans="22:42" ht="15" customHeight="1" x14ac:dyDescent="0.15">
      <c r="X192" s="14"/>
    </row>
    <row r="193" spans="1:24" ht="15" customHeight="1" x14ac:dyDescent="0.15">
      <c r="A193" s="61" t="s">
        <v>1301</v>
      </c>
      <c r="X193" s="14"/>
    </row>
    <row r="194" spans="1:24" ht="15" customHeight="1" x14ac:dyDescent="0.15">
      <c r="A194" s="65" t="s">
        <v>954</v>
      </c>
      <c r="X194" s="14"/>
    </row>
    <row r="195" spans="1:24" ht="15" customHeight="1" x14ac:dyDescent="0.15">
      <c r="X195" s="14"/>
    </row>
    <row r="196" spans="1:24" ht="15" customHeight="1" x14ac:dyDescent="0.15">
      <c r="H196" s="281" t="s">
        <v>273</v>
      </c>
      <c r="I196" s="281"/>
      <c r="J196" s="281"/>
      <c r="K196" s="281"/>
      <c r="L196" s="281" t="s">
        <v>1113</v>
      </c>
      <c r="M196" s="281"/>
      <c r="N196" s="281"/>
      <c r="O196" s="281"/>
      <c r="X196" s="14"/>
    </row>
    <row r="197" spans="1:24" ht="15" customHeight="1" x14ac:dyDescent="0.15">
      <c r="G197" s="7" t="s">
        <v>955</v>
      </c>
      <c r="H197" s="60" t="s">
        <v>91</v>
      </c>
      <c r="I197" s="60" t="s">
        <v>105</v>
      </c>
      <c r="J197" s="60" t="s">
        <v>259</v>
      </c>
      <c r="K197" s="60" t="s">
        <v>1142</v>
      </c>
      <c r="L197" s="60" t="s">
        <v>91</v>
      </c>
      <c r="M197" s="60" t="s">
        <v>105</v>
      </c>
      <c r="N197" s="60" t="s">
        <v>259</v>
      </c>
      <c r="O197" s="60" t="s">
        <v>1142</v>
      </c>
      <c r="P197" s="8"/>
      <c r="X197" s="14"/>
    </row>
    <row r="198" spans="1:24" ht="15" customHeight="1" x14ac:dyDescent="0.15">
      <c r="G198" s="11">
        <v>500</v>
      </c>
      <c r="H198" s="1" t="s">
        <v>956</v>
      </c>
      <c r="I198" s="1" t="s">
        <v>957</v>
      </c>
      <c r="J198" s="1" t="s">
        <v>958</v>
      </c>
      <c r="K198" s="1" t="s">
        <v>1302</v>
      </c>
      <c r="L198" s="1" t="s">
        <v>959</v>
      </c>
      <c r="M198" s="1" t="s">
        <v>960</v>
      </c>
      <c r="N198" s="1" t="s">
        <v>961</v>
      </c>
      <c r="O198" s="1" t="s">
        <v>1114</v>
      </c>
      <c r="P198" s="16"/>
    </row>
    <row r="199" spans="1:24" ht="15" customHeight="1" x14ac:dyDescent="0.15">
      <c r="G199" s="11">
        <v>600</v>
      </c>
      <c r="H199" s="1" t="s">
        <v>962</v>
      </c>
      <c r="I199" s="1" t="s">
        <v>963</v>
      </c>
      <c r="J199" s="1" t="s">
        <v>964</v>
      </c>
      <c r="K199" s="1" t="s">
        <v>1303</v>
      </c>
      <c r="L199" s="1" t="s">
        <v>965</v>
      </c>
      <c r="M199" s="1" t="s">
        <v>966</v>
      </c>
      <c r="N199" s="1" t="s">
        <v>967</v>
      </c>
      <c r="O199" s="1" t="s">
        <v>1115</v>
      </c>
      <c r="P199" s="16"/>
    </row>
    <row r="200" spans="1:24" ht="15" customHeight="1" x14ac:dyDescent="0.15">
      <c r="G200" s="11">
        <v>700</v>
      </c>
      <c r="H200" s="1" t="s">
        <v>968</v>
      </c>
      <c r="I200" s="1" t="s">
        <v>969</v>
      </c>
      <c r="J200" s="1" t="s">
        <v>970</v>
      </c>
      <c r="K200" s="1" t="s">
        <v>1304</v>
      </c>
      <c r="L200" s="1" t="s">
        <v>971</v>
      </c>
      <c r="M200" s="1" t="s">
        <v>972</v>
      </c>
      <c r="N200" s="1" t="s">
        <v>973</v>
      </c>
      <c r="O200" s="1" t="s">
        <v>1116</v>
      </c>
      <c r="P200" s="16"/>
    </row>
    <row r="201" spans="1:24" ht="15" customHeight="1" x14ac:dyDescent="0.15">
      <c r="G201" s="11">
        <v>800</v>
      </c>
      <c r="H201" s="1" t="s">
        <v>974</v>
      </c>
      <c r="I201" s="1" t="s">
        <v>975</v>
      </c>
      <c r="J201" s="1" t="s">
        <v>976</v>
      </c>
      <c r="K201" s="1" t="s">
        <v>1305</v>
      </c>
      <c r="L201" s="1" t="s">
        <v>977</v>
      </c>
      <c r="M201" s="1" t="s">
        <v>978</v>
      </c>
      <c r="N201" s="1" t="s">
        <v>979</v>
      </c>
      <c r="O201" s="1" t="s">
        <v>1117</v>
      </c>
      <c r="P201" s="16"/>
    </row>
    <row r="202" spans="1:24" ht="15" customHeight="1" x14ac:dyDescent="0.15">
      <c r="G202" s="11">
        <v>900</v>
      </c>
      <c r="H202" s="1" t="s">
        <v>980</v>
      </c>
      <c r="I202" s="1" t="s">
        <v>981</v>
      </c>
      <c r="J202" s="1" t="s">
        <v>982</v>
      </c>
      <c r="K202" s="1" t="s">
        <v>1306</v>
      </c>
      <c r="L202" s="1" t="s">
        <v>983</v>
      </c>
      <c r="M202" s="1" t="s">
        <v>984</v>
      </c>
      <c r="N202" s="1" t="s">
        <v>985</v>
      </c>
      <c r="O202" s="1" t="s">
        <v>1118</v>
      </c>
      <c r="P202" s="16"/>
    </row>
    <row r="203" spans="1:24" ht="15" customHeight="1" x14ac:dyDescent="0.15">
      <c r="G203" s="11">
        <v>1000</v>
      </c>
      <c r="H203" s="1" t="s">
        <v>986</v>
      </c>
      <c r="I203" s="1" t="s">
        <v>987</v>
      </c>
      <c r="J203" s="1" t="s">
        <v>988</v>
      </c>
      <c r="K203" s="1" t="s">
        <v>1307</v>
      </c>
      <c r="L203" s="1" t="s">
        <v>989</v>
      </c>
      <c r="M203" s="1" t="s">
        <v>990</v>
      </c>
      <c r="N203" s="1" t="s">
        <v>991</v>
      </c>
      <c r="O203" s="1" t="s">
        <v>1119</v>
      </c>
      <c r="P203" s="16"/>
    </row>
    <row r="204" spans="1:24" ht="15" customHeight="1" x14ac:dyDescent="0.15">
      <c r="G204" s="11">
        <v>1100</v>
      </c>
      <c r="H204" s="1" t="s">
        <v>992</v>
      </c>
      <c r="I204" s="1" t="s">
        <v>993</v>
      </c>
      <c r="J204" s="1" t="s">
        <v>994</v>
      </c>
      <c r="K204" s="1" t="s">
        <v>80</v>
      </c>
      <c r="L204" s="1" t="s">
        <v>995</v>
      </c>
      <c r="M204" s="1" t="s">
        <v>996</v>
      </c>
      <c r="N204" s="1" t="s">
        <v>997</v>
      </c>
      <c r="O204" s="1" t="s">
        <v>1120</v>
      </c>
      <c r="P204" s="16"/>
    </row>
    <row r="205" spans="1:24" ht="15" customHeight="1" x14ac:dyDescent="0.15">
      <c r="G205" s="11">
        <v>1200</v>
      </c>
      <c r="H205" s="1" t="s">
        <v>998</v>
      </c>
      <c r="I205" s="1" t="s">
        <v>999</v>
      </c>
      <c r="J205" s="1" t="s">
        <v>1000</v>
      </c>
      <c r="K205" s="1" t="s">
        <v>1308</v>
      </c>
      <c r="L205" s="1" t="s">
        <v>1001</v>
      </c>
      <c r="M205" s="1" t="s">
        <v>1002</v>
      </c>
      <c r="N205" s="1" t="s">
        <v>1003</v>
      </c>
      <c r="O205" s="1" t="s">
        <v>1121</v>
      </c>
      <c r="P205" s="16"/>
    </row>
    <row r="206" spans="1:24" ht="15" customHeight="1" x14ac:dyDescent="0.15">
      <c r="G206" s="11">
        <v>1300</v>
      </c>
      <c r="H206" s="1" t="s">
        <v>1004</v>
      </c>
      <c r="I206" s="1" t="s">
        <v>1005</v>
      </c>
      <c r="J206" s="1" t="s">
        <v>1006</v>
      </c>
      <c r="K206" s="1" t="s">
        <v>1309</v>
      </c>
      <c r="L206" s="1" t="s">
        <v>1007</v>
      </c>
      <c r="M206" s="1" t="s">
        <v>1008</v>
      </c>
      <c r="N206" s="1" t="s">
        <v>1009</v>
      </c>
      <c r="O206" s="1" t="s">
        <v>1122</v>
      </c>
      <c r="P206" s="16"/>
    </row>
    <row r="207" spans="1:24" ht="15" customHeight="1" x14ac:dyDescent="0.15">
      <c r="G207" s="11">
        <v>1400</v>
      </c>
      <c r="H207" s="1" t="s">
        <v>1010</v>
      </c>
      <c r="I207" s="1" t="s">
        <v>1011</v>
      </c>
      <c r="J207" s="1" t="s">
        <v>1012</v>
      </c>
      <c r="K207" s="1" t="s">
        <v>1310</v>
      </c>
      <c r="L207" s="1" t="s">
        <v>1013</v>
      </c>
      <c r="M207" s="1" t="s">
        <v>1014</v>
      </c>
      <c r="N207" s="1" t="s">
        <v>1015</v>
      </c>
      <c r="O207" s="1" t="s">
        <v>1123</v>
      </c>
      <c r="P207" s="16"/>
    </row>
    <row r="208" spans="1:24" ht="15" customHeight="1" x14ac:dyDescent="0.15">
      <c r="G208" s="11">
        <v>1500</v>
      </c>
      <c r="H208" s="1" t="s">
        <v>1016</v>
      </c>
      <c r="I208" s="1" t="s">
        <v>1017</v>
      </c>
      <c r="J208" s="1" t="s">
        <v>1018</v>
      </c>
      <c r="K208" s="1" t="s">
        <v>81</v>
      </c>
      <c r="L208" s="1" t="s">
        <v>1019</v>
      </c>
      <c r="M208" s="1" t="s">
        <v>1020</v>
      </c>
      <c r="N208" s="1" t="s">
        <v>1021</v>
      </c>
      <c r="O208" s="1" t="s">
        <v>1124</v>
      </c>
      <c r="P208" s="16"/>
    </row>
    <row r="209" spans="7:16" ht="15" customHeight="1" x14ac:dyDescent="0.15">
      <c r="G209" s="11">
        <v>1600</v>
      </c>
      <c r="H209" s="1" t="s">
        <v>1022</v>
      </c>
      <c r="I209" s="1" t="s">
        <v>1023</v>
      </c>
      <c r="J209" s="1" t="s">
        <v>1024</v>
      </c>
      <c r="K209" s="1" t="s">
        <v>1311</v>
      </c>
      <c r="L209" s="1" t="s">
        <v>1025</v>
      </c>
      <c r="M209" s="1" t="s">
        <v>1026</v>
      </c>
      <c r="N209" s="1" t="s">
        <v>1027</v>
      </c>
      <c r="O209" s="1" t="s">
        <v>1125</v>
      </c>
      <c r="P209" s="16"/>
    </row>
    <row r="210" spans="7:16" ht="15" customHeight="1" x14ac:dyDescent="0.15">
      <c r="G210" s="11">
        <v>1700</v>
      </c>
      <c r="H210" s="1" t="s">
        <v>1028</v>
      </c>
      <c r="I210" s="1" t="s">
        <v>1029</v>
      </c>
      <c r="J210" s="1" t="s">
        <v>1030</v>
      </c>
      <c r="K210" s="1" t="s">
        <v>1312</v>
      </c>
      <c r="L210" s="1" t="s">
        <v>1031</v>
      </c>
      <c r="M210" s="1" t="s">
        <v>1032</v>
      </c>
      <c r="N210" s="1" t="s">
        <v>1033</v>
      </c>
      <c r="O210" s="1" t="s">
        <v>1126</v>
      </c>
      <c r="P210" s="16"/>
    </row>
    <row r="211" spans="7:16" ht="15" customHeight="1" x14ac:dyDescent="0.15">
      <c r="G211" s="11">
        <v>1800</v>
      </c>
      <c r="H211" s="1" t="s">
        <v>1034</v>
      </c>
      <c r="I211" s="1" t="s">
        <v>1035</v>
      </c>
      <c r="J211" s="1" t="s">
        <v>1036</v>
      </c>
      <c r="K211" s="1" t="s">
        <v>1313</v>
      </c>
      <c r="L211" s="1" t="s">
        <v>1037</v>
      </c>
      <c r="M211" s="1" t="s">
        <v>1038</v>
      </c>
      <c r="N211" s="1" t="s">
        <v>1039</v>
      </c>
      <c r="O211" s="1" t="s">
        <v>1127</v>
      </c>
      <c r="P211" s="16"/>
    </row>
    <row r="212" spans="7:16" ht="15" customHeight="1" x14ac:dyDescent="0.15">
      <c r="G212" s="11">
        <v>1900</v>
      </c>
      <c r="H212" s="1" t="s">
        <v>1040</v>
      </c>
      <c r="I212" s="1" t="s">
        <v>1041</v>
      </c>
      <c r="J212" s="1" t="s">
        <v>1042</v>
      </c>
      <c r="K212" s="1" t="s">
        <v>82</v>
      </c>
      <c r="L212" s="1" t="s">
        <v>1043</v>
      </c>
      <c r="M212" s="1" t="s">
        <v>1044</v>
      </c>
      <c r="N212" s="1" t="s">
        <v>1045</v>
      </c>
      <c r="O212" s="1" t="s">
        <v>1128</v>
      </c>
      <c r="P212" s="16"/>
    </row>
    <row r="213" spans="7:16" ht="15" customHeight="1" x14ac:dyDescent="0.15">
      <c r="G213" s="11">
        <v>2000</v>
      </c>
      <c r="H213" s="1" t="s">
        <v>1046</v>
      </c>
      <c r="I213" s="1" t="s">
        <v>1047</v>
      </c>
      <c r="J213" s="1" t="s">
        <v>1048</v>
      </c>
      <c r="K213" s="1" t="s">
        <v>1314</v>
      </c>
      <c r="L213" s="1" t="s">
        <v>1049</v>
      </c>
      <c r="M213" s="1" t="s">
        <v>1050</v>
      </c>
      <c r="N213" s="1" t="s">
        <v>1051</v>
      </c>
      <c r="O213" s="1" t="s">
        <v>1129</v>
      </c>
      <c r="P213" s="16"/>
    </row>
    <row r="214" spans="7:16" ht="15" customHeight="1" x14ac:dyDescent="0.15">
      <c r="G214" s="11">
        <v>2100</v>
      </c>
      <c r="H214" s="1" t="s">
        <v>1052</v>
      </c>
      <c r="I214" s="1" t="s">
        <v>1053</v>
      </c>
      <c r="J214" s="1" t="s">
        <v>1054</v>
      </c>
      <c r="K214" s="1" t="s">
        <v>83</v>
      </c>
      <c r="L214" s="1" t="s">
        <v>1055</v>
      </c>
      <c r="M214" s="1" t="s">
        <v>1056</v>
      </c>
      <c r="N214" s="1" t="s">
        <v>1057</v>
      </c>
      <c r="O214" s="1" t="s">
        <v>1130</v>
      </c>
      <c r="P214" s="16"/>
    </row>
    <row r="215" spans="7:16" ht="15" customHeight="1" x14ac:dyDescent="0.15">
      <c r="G215" s="11">
        <v>2200</v>
      </c>
      <c r="H215" s="1" t="s">
        <v>1058</v>
      </c>
      <c r="I215" s="1" t="s">
        <v>1059</v>
      </c>
      <c r="J215" s="1" t="s">
        <v>1060</v>
      </c>
      <c r="K215" s="1" t="s">
        <v>1315</v>
      </c>
      <c r="L215" s="1" t="s">
        <v>1061</v>
      </c>
      <c r="M215" s="1" t="s">
        <v>1062</v>
      </c>
      <c r="N215" s="1" t="s">
        <v>1063</v>
      </c>
      <c r="O215" s="1" t="s">
        <v>1131</v>
      </c>
      <c r="P215" s="16"/>
    </row>
    <row r="216" spans="7:16" ht="15" customHeight="1" x14ac:dyDescent="0.15">
      <c r="G216" s="11">
        <v>2300</v>
      </c>
      <c r="H216" s="1" t="s">
        <v>1064</v>
      </c>
      <c r="I216" s="1" t="s">
        <v>1065</v>
      </c>
      <c r="J216" s="1" t="s">
        <v>1066</v>
      </c>
      <c r="K216" s="1" t="s">
        <v>1316</v>
      </c>
      <c r="L216" s="1" t="s">
        <v>1067</v>
      </c>
      <c r="M216" s="1" t="s">
        <v>1068</v>
      </c>
      <c r="N216" s="1" t="s">
        <v>1069</v>
      </c>
      <c r="O216" s="1" t="s">
        <v>1132</v>
      </c>
      <c r="P216" s="16"/>
    </row>
    <row r="217" spans="7:16" ht="15" customHeight="1" x14ac:dyDescent="0.15">
      <c r="G217" s="11">
        <v>2400</v>
      </c>
      <c r="H217" s="1" t="s">
        <v>1070</v>
      </c>
      <c r="I217" s="1" t="s">
        <v>1071</v>
      </c>
      <c r="J217" s="1" t="s">
        <v>1072</v>
      </c>
      <c r="K217" s="1" t="s">
        <v>1317</v>
      </c>
      <c r="L217" s="1" t="s">
        <v>1073</v>
      </c>
      <c r="M217" s="1" t="s">
        <v>1074</v>
      </c>
      <c r="N217" s="1" t="s">
        <v>1075</v>
      </c>
      <c r="O217" s="1" t="s">
        <v>1133</v>
      </c>
      <c r="P217" s="16"/>
    </row>
    <row r="218" spans="7:16" ht="15" customHeight="1" x14ac:dyDescent="0.15">
      <c r="G218" s="11">
        <v>2500</v>
      </c>
      <c r="H218" s="1" t="s">
        <v>1076</v>
      </c>
      <c r="I218" s="1" t="s">
        <v>1077</v>
      </c>
      <c r="J218" s="1" t="s">
        <v>1078</v>
      </c>
      <c r="K218" s="1" t="s">
        <v>1318</v>
      </c>
      <c r="L218" s="1" t="s">
        <v>1079</v>
      </c>
      <c r="M218" s="1" t="s">
        <v>1080</v>
      </c>
      <c r="N218" s="1" t="s">
        <v>1081</v>
      </c>
      <c r="O218" s="1" t="s">
        <v>1134</v>
      </c>
      <c r="P218" s="16"/>
    </row>
    <row r="219" spans="7:16" ht="15" customHeight="1" x14ac:dyDescent="0.15">
      <c r="G219" s="11">
        <v>2600</v>
      </c>
      <c r="H219" s="1" t="s">
        <v>1082</v>
      </c>
      <c r="I219" s="1" t="s">
        <v>1083</v>
      </c>
      <c r="J219" s="1" t="s">
        <v>1084</v>
      </c>
      <c r="K219" s="1" t="s">
        <v>1319</v>
      </c>
      <c r="L219" s="1" t="s">
        <v>1085</v>
      </c>
      <c r="M219" s="1" t="s">
        <v>1086</v>
      </c>
      <c r="N219" s="1" t="s">
        <v>1087</v>
      </c>
      <c r="O219" s="1" t="s">
        <v>1135</v>
      </c>
      <c r="P219" s="16"/>
    </row>
    <row r="220" spans="7:16" ht="15" customHeight="1" x14ac:dyDescent="0.15">
      <c r="G220" s="11">
        <v>2700</v>
      </c>
      <c r="H220" s="1" t="s">
        <v>1088</v>
      </c>
      <c r="I220" s="1" t="s">
        <v>1089</v>
      </c>
      <c r="J220" s="1" t="s">
        <v>1090</v>
      </c>
      <c r="K220" s="1" t="s">
        <v>1320</v>
      </c>
      <c r="L220" s="1" t="s">
        <v>1091</v>
      </c>
      <c r="M220" s="1" t="s">
        <v>1092</v>
      </c>
      <c r="N220" s="1" t="s">
        <v>1093</v>
      </c>
      <c r="O220" s="1" t="s">
        <v>1136</v>
      </c>
      <c r="P220" s="16"/>
    </row>
    <row r="221" spans="7:16" ht="15" customHeight="1" x14ac:dyDescent="0.15">
      <c r="G221" s="11">
        <v>2800</v>
      </c>
      <c r="H221" s="1" t="s">
        <v>1094</v>
      </c>
      <c r="I221" s="1" t="s">
        <v>1095</v>
      </c>
      <c r="J221" s="1" t="s">
        <v>1096</v>
      </c>
      <c r="K221" s="1" t="s">
        <v>1321</v>
      </c>
      <c r="L221" s="1" t="s">
        <v>1097</v>
      </c>
      <c r="M221" s="1" t="s">
        <v>1098</v>
      </c>
      <c r="N221" s="1" t="s">
        <v>1099</v>
      </c>
      <c r="O221" s="1" t="s">
        <v>1137</v>
      </c>
      <c r="P221" s="16"/>
    </row>
    <row r="222" spans="7:16" ht="15" customHeight="1" x14ac:dyDescent="0.15">
      <c r="G222" s="11">
        <v>2900</v>
      </c>
      <c r="H222" s="1" t="s">
        <v>1100</v>
      </c>
      <c r="I222" s="1" t="s">
        <v>1101</v>
      </c>
      <c r="J222" s="1" t="s">
        <v>1102</v>
      </c>
      <c r="K222" s="1" t="s">
        <v>1322</v>
      </c>
      <c r="L222" s="1" t="s">
        <v>1103</v>
      </c>
      <c r="M222" s="1" t="s">
        <v>1104</v>
      </c>
      <c r="N222" s="1" t="s">
        <v>1105</v>
      </c>
      <c r="O222" s="1" t="s">
        <v>1138</v>
      </c>
      <c r="P222" s="16"/>
    </row>
    <row r="223" spans="7:16" ht="15" customHeight="1" x14ac:dyDescent="0.15">
      <c r="G223" s="11">
        <v>3000</v>
      </c>
      <c r="H223" s="1" t="s">
        <v>1106</v>
      </c>
      <c r="I223" s="1" t="s">
        <v>1107</v>
      </c>
      <c r="J223" s="1" t="s">
        <v>1108</v>
      </c>
      <c r="K223" s="1" t="s">
        <v>1323</v>
      </c>
      <c r="L223" s="1" t="s">
        <v>1109</v>
      </c>
      <c r="M223" s="1" t="s">
        <v>1110</v>
      </c>
      <c r="N223" s="1" t="s">
        <v>1111</v>
      </c>
      <c r="O223" s="1" t="s">
        <v>1139</v>
      </c>
      <c r="P223" s="16"/>
    </row>
    <row r="224" spans="7:16" ht="15" customHeight="1" x14ac:dyDescent="0.15">
      <c r="G224" s="17" t="s">
        <v>40</v>
      </c>
      <c r="H224" s="16"/>
      <c r="I224" s="16"/>
      <c r="J224" s="16"/>
      <c r="K224" s="16"/>
      <c r="L224" s="16"/>
      <c r="M224" s="16"/>
      <c r="N224" s="16"/>
      <c r="O224" s="16"/>
      <c r="P224" s="16"/>
    </row>
    <row r="225" spans="1:16" ht="15" customHeight="1" x14ac:dyDescent="0.15">
      <c r="G225" s="12">
        <v>1</v>
      </c>
      <c r="H225" s="12">
        <v>2</v>
      </c>
      <c r="I225" s="12">
        <v>3</v>
      </c>
      <c r="J225" s="12">
        <v>4</v>
      </c>
      <c r="K225" s="12">
        <v>5</v>
      </c>
      <c r="L225" s="12">
        <v>6</v>
      </c>
      <c r="M225" s="12">
        <v>7</v>
      </c>
      <c r="N225" s="12">
        <v>8</v>
      </c>
      <c r="O225" s="12">
        <v>9</v>
      </c>
      <c r="P225" s="12">
        <v>10</v>
      </c>
    </row>
    <row r="230" spans="1:16" ht="15" customHeight="1" x14ac:dyDescent="0.15">
      <c r="A230" s="61" t="s">
        <v>1324</v>
      </c>
    </row>
    <row r="231" spans="1:16" ht="15" customHeight="1" x14ac:dyDescent="0.15">
      <c r="A231" s="65" t="s">
        <v>954</v>
      </c>
    </row>
    <row r="233" spans="1:16" ht="15" customHeight="1" x14ac:dyDescent="0.15">
      <c r="H233" s="281" t="s">
        <v>273</v>
      </c>
      <c r="I233" s="281"/>
      <c r="J233" s="281"/>
      <c r="K233" s="281"/>
      <c r="L233" s="281" t="s">
        <v>1113</v>
      </c>
      <c r="M233" s="281"/>
      <c r="N233" s="281"/>
      <c r="O233" s="281"/>
    </row>
    <row r="234" spans="1:16" ht="15" customHeight="1" x14ac:dyDescent="0.15">
      <c r="G234" s="7" t="s">
        <v>955</v>
      </c>
      <c r="H234" s="60" t="s">
        <v>91</v>
      </c>
      <c r="I234" s="60" t="s">
        <v>105</v>
      </c>
      <c r="J234" s="60" t="s">
        <v>259</v>
      </c>
      <c r="K234" s="60" t="s">
        <v>1142</v>
      </c>
      <c r="L234" s="60" t="s">
        <v>91</v>
      </c>
      <c r="M234" s="60" t="s">
        <v>105</v>
      </c>
      <c r="N234" s="60" t="s">
        <v>259</v>
      </c>
      <c r="O234" s="60" t="s">
        <v>1142</v>
      </c>
      <c r="P234" s="8"/>
    </row>
    <row r="235" spans="1:16" ht="15" customHeight="1" x14ac:dyDescent="0.15">
      <c r="G235" s="11">
        <v>1000</v>
      </c>
      <c r="H235" s="1" t="s">
        <v>986</v>
      </c>
      <c r="I235" s="1" t="s">
        <v>987</v>
      </c>
      <c r="J235" s="1" t="s">
        <v>988</v>
      </c>
      <c r="K235" s="1" t="s">
        <v>1307</v>
      </c>
      <c r="L235" s="1" t="s">
        <v>989</v>
      </c>
      <c r="M235" s="1" t="s">
        <v>990</v>
      </c>
      <c r="N235" s="1" t="s">
        <v>991</v>
      </c>
      <c r="O235" s="1" t="s">
        <v>1119</v>
      </c>
      <c r="P235" s="16"/>
    </row>
    <row r="236" spans="1:16" ht="15" customHeight="1" x14ac:dyDescent="0.15">
      <c r="G236" s="11">
        <v>1100</v>
      </c>
      <c r="H236" s="1" t="s">
        <v>992</v>
      </c>
      <c r="I236" s="1" t="s">
        <v>993</v>
      </c>
      <c r="J236" s="1" t="s">
        <v>994</v>
      </c>
      <c r="K236" s="1" t="s">
        <v>80</v>
      </c>
      <c r="L236" s="1" t="s">
        <v>995</v>
      </c>
      <c r="M236" s="1" t="s">
        <v>996</v>
      </c>
      <c r="N236" s="1" t="s">
        <v>997</v>
      </c>
      <c r="O236" s="1" t="s">
        <v>1120</v>
      </c>
      <c r="P236" s="16"/>
    </row>
    <row r="237" spans="1:16" ht="15" customHeight="1" x14ac:dyDescent="0.15">
      <c r="G237" s="11">
        <v>1200</v>
      </c>
      <c r="H237" s="1" t="s">
        <v>998</v>
      </c>
      <c r="I237" s="1" t="s">
        <v>999</v>
      </c>
      <c r="J237" s="1" t="s">
        <v>1000</v>
      </c>
      <c r="K237" s="1" t="s">
        <v>1308</v>
      </c>
      <c r="L237" s="1" t="s">
        <v>1001</v>
      </c>
      <c r="M237" s="1" t="s">
        <v>1002</v>
      </c>
      <c r="N237" s="1" t="s">
        <v>1003</v>
      </c>
      <c r="O237" s="1" t="s">
        <v>1121</v>
      </c>
      <c r="P237" s="16"/>
    </row>
    <row r="238" spans="1:16" ht="15" customHeight="1" x14ac:dyDescent="0.15">
      <c r="G238" s="11">
        <v>1300</v>
      </c>
      <c r="H238" s="1" t="s">
        <v>1004</v>
      </c>
      <c r="I238" s="1" t="s">
        <v>1005</v>
      </c>
      <c r="J238" s="1" t="s">
        <v>1006</v>
      </c>
      <c r="K238" s="1" t="s">
        <v>1309</v>
      </c>
      <c r="L238" s="1" t="s">
        <v>1007</v>
      </c>
      <c r="M238" s="1" t="s">
        <v>1008</v>
      </c>
      <c r="N238" s="1" t="s">
        <v>1009</v>
      </c>
      <c r="O238" s="1" t="s">
        <v>1122</v>
      </c>
      <c r="P238" s="16"/>
    </row>
    <row r="239" spans="1:16" ht="15" customHeight="1" x14ac:dyDescent="0.15">
      <c r="G239" s="11">
        <v>1400</v>
      </c>
      <c r="H239" s="1" t="s">
        <v>1010</v>
      </c>
      <c r="I239" s="1" t="s">
        <v>1011</v>
      </c>
      <c r="J239" s="1" t="s">
        <v>1012</v>
      </c>
      <c r="K239" s="1" t="s">
        <v>1310</v>
      </c>
      <c r="L239" s="1" t="s">
        <v>1013</v>
      </c>
      <c r="M239" s="1" t="s">
        <v>1014</v>
      </c>
      <c r="N239" s="1" t="s">
        <v>1015</v>
      </c>
      <c r="O239" s="1" t="s">
        <v>1123</v>
      </c>
      <c r="P239" s="16"/>
    </row>
    <row r="240" spans="1:16" ht="15" customHeight="1" x14ac:dyDescent="0.15">
      <c r="G240" s="11">
        <v>1500</v>
      </c>
      <c r="H240" s="1" t="s">
        <v>1016</v>
      </c>
      <c r="I240" s="1" t="s">
        <v>1017</v>
      </c>
      <c r="J240" s="1" t="s">
        <v>1018</v>
      </c>
      <c r="K240" s="1" t="s">
        <v>81</v>
      </c>
      <c r="L240" s="1" t="s">
        <v>1019</v>
      </c>
      <c r="M240" s="1" t="s">
        <v>1020</v>
      </c>
      <c r="N240" s="1" t="s">
        <v>1021</v>
      </c>
      <c r="O240" s="1" t="s">
        <v>1124</v>
      </c>
      <c r="P240" s="16"/>
    </row>
    <row r="241" spans="7:16" ht="15" customHeight="1" x14ac:dyDescent="0.15">
      <c r="G241" s="11">
        <v>1600</v>
      </c>
      <c r="H241" s="1" t="s">
        <v>1022</v>
      </c>
      <c r="I241" s="1" t="s">
        <v>1023</v>
      </c>
      <c r="J241" s="1" t="s">
        <v>1024</v>
      </c>
      <c r="K241" s="1" t="s">
        <v>1311</v>
      </c>
      <c r="L241" s="1" t="s">
        <v>1025</v>
      </c>
      <c r="M241" s="1" t="s">
        <v>1026</v>
      </c>
      <c r="N241" s="1" t="s">
        <v>1027</v>
      </c>
      <c r="O241" s="1" t="s">
        <v>1125</v>
      </c>
      <c r="P241" s="16"/>
    </row>
    <row r="242" spans="7:16" ht="15" customHeight="1" x14ac:dyDescent="0.15">
      <c r="G242" s="11">
        <v>1700</v>
      </c>
      <c r="H242" s="1" t="s">
        <v>1028</v>
      </c>
      <c r="I242" s="1" t="s">
        <v>1029</v>
      </c>
      <c r="J242" s="1" t="s">
        <v>1030</v>
      </c>
      <c r="K242" s="1" t="s">
        <v>1312</v>
      </c>
      <c r="L242" s="1" t="s">
        <v>1031</v>
      </c>
      <c r="M242" s="1" t="s">
        <v>1032</v>
      </c>
      <c r="N242" s="1" t="s">
        <v>1033</v>
      </c>
      <c r="O242" s="1" t="s">
        <v>1126</v>
      </c>
      <c r="P242" s="16"/>
    </row>
    <row r="243" spans="7:16" ht="15" customHeight="1" x14ac:dyDescent="0.15">
      <c r="G243" s="11">
        <v>1800</v>
      </c>
      <c r="H243" s="1" t="s">
        <v>1034</v>
      </c>
      <c r="I243" s="1" t="s">
        <v>1035</v>
      </c>
      <c r="J243" s="1" t="s">
        <v>1036</v>
      </c>
      <c r="K243" s="1" t="s">
        <v>1313</v>
      </c>
      <c r="L243" s="1" t="s">
        <v>1037</v>
      </c>
      <c r="M243" s="1" t="s">
        <v>1038</v>
      </c>
      <c r="N243" s="1" t="s">
        <v>1039</v>
      </c>
      <c r="O243" s="1" t="s">
        <v>1127</v>
      </c>
      <c r="P243" s="16"/>
    </row>
    <row r="244" spans="7:16" ht="15" customHeight="1" x14ac:dyDescent="0.15">
      <c r="G244" s="11">
        <v>1900</v>
      </c>
      <c r="H244" s="1" t="s">
        <v>1040</v>
      </c>
      <c r="I244" s="1" t="s">
        <v>1041</v>
      </c>
      <c r="J244" s="1" t="s">
        <v>1042</v>
      </c>
      <c r="K244" s="1" t="s">
        <v>82</v>
      </c>
      <c r="L244" s="1" t="s">
        <v>1043</v>
      </c>
      <c r="M244" s="1" t="s">
        <v>1044</v>
      </c>
      <c r="N244" s="1" t="s">
        <v>1045</v>
      </c>
      <c r="O244" s="1" t="s">
        <v>1128</v>
      </c>
      <c r="P244" s="16"/>
    </row>
    <row r="245" spans="7:16" ht="15" customHeight="1" x14ac:dyDescent="0.15">
      <c r="G245" s="11">
        <v>2000</v>
      </c>
      <c r="H245" s="1" t="s">
        <v>1046</v>
      </c>
      <c r="I245" s="1" t="s">
        <v>1047</v>
      </c>
      <c r="J245" s="1" t="s">
        <v>1048</v>
      </c>
      <c r="K245" s="1" t="s">
        <v>1314</v>
      </c>
      <c r="L245" s="1" t="s">
        <v>1049</v>
      </c>
      <c r="M245" s="1" t="s">
        <v>1050</v>
      </c>
      <c r="N245" s="1" t="s">
        <v>1051</v>
      </c>
      <c r="O245" s="1" t="s">
        <v>1129</v>
      </c>
      <c r="P245" s="16"/>
    </row>
    <row r="246" spans="7:16" ht="15" customHeight="1" x14ac:dyDescent="0.15">
      <c r="G246" s="11">
        <v>2100</v>
      </c>
      <c r="H246" s="1" t="s">
        <v>1052</v>
      </c>
      <c r="I246" s="1" t="s">
        <v>1053</v>
      </c>
      <c r="J246" s="1" t="s">
        <v>1054</v>
      </c>
      <c r="K246" s="1" t="s">
        <v>83</v>
      </c>
      <c r="L246" s="1" t="s">
        <v>1055</v>
      </c>
      <c r="M246" s="1" t="s">
        <v>1056</v>
      </c>
      <c r="N246" s="1" t="s">
        <v>1057</v>
      </c>
      <c r="O246" s="1" t="s">
        <v>1130</v>
      </c>
      <c r="P246" s="16"/>
    </row>
    <row r="247" spans="7:16" ht="15" customHeight="1" x14ac:dyDescent="0.15">
      <c r="G247" s="11">
        <v>2200</v>
      </c>
      <c r="H247" s="1" t="s">
        <v>1058</v>
      </c>
      <c r="I247" s="1" t="s">
        <v>1059</v>
      </c>
      <c r="J247" s="1" t="s">
        <v>1060</v>
      </c>
      <c r="K247" s="1" t="s">
        <v>1315</v>
      </c>
      <c r="L247" s="1" t="s">
        <v>1061</v>
      </c>
      <c r="M247" s="1" t="s">
        <v>1062</v>
      </c>
      <c r="N247" s="1" t="s">
        <v>1063</v>
      </c>
      <c r="O247" s="1" t="s">
        <v>1131</v>
      </c>
      <c r="P247" s="16"/>
    </row>
    <row r="248" spans="7:16" ht="15" customHeight="1" x14ac:dyDescent="0.15">
      <c r="G248" s="11">
        <v>2300</v>
      </c>
      <c r="H248" s="1" t="s">
        <v>1064</v>
      </c>
      <c r="I248" s="1" t="s">
        <v>1065</v>
      </c>
      <c r="J248" s="1" t="s">
        <v>1066</v>
      </c>
      <c r="K248" s="1" t="s">
        <v>1316</v>
      </c>
      <c r="L248" s="1" t="s">
        <v>1067</v>
      </c>
      <c r="M248" s="1" t="s">
        <v>1068</v>
      </c>
      <c r="N248" s="1" t="s">
        <v>1069</v>
      </c>
      <c r="O248" s="1" t="s">
        <v>1132</v>
      </c>
      <c r="P248" s="16"/>
    </row>
    <row r="249" spans="7:16" ht="15" customHeight="1" x14ac:dyDescent="0.15">
      <c r="G249" s="11">
        <v>2400</v>
      </c>
      <c r="H249" s="1" t="s">
        <v>1070</v>
      </c>
      <c r="I249" s="1" t="s">
        <v>1071</v>
      </c>
      <c r="J249" s="1" t="s">
        <v>1072</v>
      </c>
      <c r="K249" s="1" t="s">
        <v>1317</v>
      </c>
      <c r="L249" s="1" t="s">
        <v>1073</v>
      </c>
      <c r="M249" s="1" t="s">
        <v>1074</v>
      </c>
      <c r="N249" s="1" t="s">
        <v>1075</v>
      </c>
      <c r="O249" s="1" t="s">
        <v>1133</v>
      </c>
      <c r="P249" s="16"/>
    </row>
    <row r="250" spans="7:16" ht="15" customHeight="1" x14ac:dyDescent="0.15">
      <c r="G250" s="11">
        <v>2500</v>
      </c>
      <c r="H250" s="1" t="s">
        <v>1076</v>
      </c>
      <c r="I250" s="1" t="s">
        <v>1077</v>
      </c>
      <c r="J250" s="1" t="s">
        <v>1078</v>
      </c>
      <c r="K250" s="1" t="s">
        <v>1318</v>
      </c>
      <c r="L250" s="1" t="s">
        <v>1079</v>
      </c>
      <c r="M250" s="1" t="s">
        <v>1080</v>
      </c>
      <c r="N250" s="1" t="s">
        <v>1081</v>
      </c>
      <c r="O250" s="1" t="s">
        <v>1134</v>
      </c>
      <c r="P250" s="16"/>
    </row>
    <row r="251" spans="7:16" ht="15" customHeight="1" x14ac:dyDescent="0.15">
      <c r="G251" s="11">
        <v>2600</v>
      </c>
      <c r="H251" s="1" t="s">
        <v>1082</v>
      </c>
      <c r="I251" s="1" t="s">
        <v>1083</v>
      </c>
      <c r="J251" s="1" t="s">
        <v>1084</v>
      </c>
      <c r="K251" s="1" t="s">
        <v>1319</v>
      </c>
      <c r="L251" s="1" t="s">
        <v>1085</v>
      </c>
      <c r="M251" s="1" t="s">
        <v>1086</v>
      </c>
      <c r="N251" s="1" t="s">
        <v>1087</v>
      </c>
      <c r="O251" s="1" t="s">
        <v>1135</v>
      </c>
      <c r="P251" s="16"/>
    </row>
    <row r="252" spans="7:16" ht="15" customHeight="1" x14ac:dyDescent="0.15">
      <c r="G252" s="11">
        <v>2700</v>
      </c>
      <c r="H252" s="1" t="s">
        <v>1088</v>
      </c>
      <c r="I252" s="1" t="s">
        <v>1089</v>
      </c>
      <c r="J252" s="1" t="s">
        <v>1090</v>
      </c>
      <c r="K252" s="1" t="s">
        <v>1320</v>
      </c>
      <c r="L252" s="1" t="s">
        <v>1091</v>
      </c>
      <c r="M252" s="1" t="s">
        <v>1092</v>
      </c>
      <c r="N252" s="1" t="s">
        <v>1093</v>
      </c>
      <c r="O252" s="1" t="s">
        <v>1136</v>
      </c>
      <c r="P252" s="16"/>
    </row>
    <row r="253" spans="7:16" ht="15" customHeight="1" x14ac:dyDescent="0.15">
      <c r="G253" s="11">
        <v>2800</v>
      </c>
      <c r="H253" s="1" t="s">
        <v>1094</v>
      </c>
      <c r="I253" s="1" t="s">
        <v>1095</v>
      </c>
      <c r="J253" s="1" t="s">
        <v>1096</v>
      </c>
      <c r="K253" s="1" t="s">
        <v>1321</v>
      </c>
      <c r="L253" s="1" t="s">
        <v>1097</v>
      </c>
      <c r="M253" s="1" t="s">
        <v>1098</v>
      </c>
      <c r="N253" s="1" t="s">
        <v>1099</v>
      </c>
      <c r="O253" s="1" t="s">
        <v>1137</v>
      </c>
      <c r="P253" s="16"/>
    </row>
    <row r="254" spans="7:16" ht="15" customHeight="1" x14ac:dyDescent="0.15">
      <c r="G254" s="11">
        <v>2900</v>
      </c>
      <c r="H254" s="1" t="s">
        <v>1100</v>
      </c>
      <c r="I254" s="1" t="s">
        <v>1101</v>
      </c>
      <c r="J254" s="1" t="s">
        <v>1102</v>
      </c>
      <c r="K254" s="1" t="s">
        <v>1322</v>
      </c>
      <c r="L254" s="1" t="s">
        <v>1103</v>
      </c>
      <c r="M254" s="1" t="s">
        <v>1104</v>
      </c>
      <c r="N254" s="1" t="s">
        <v>1105</v>
      </c>
      <c r="O254" s="1" t="s">
        <v>1138</v>
      </c>
      <c r="P254" s="16"/>
    </row>
    <row r="255" spans="7:16" ht="15" customHeight="1" x14ac:dyDescent="0.15">
      <c r="G255" s="11">
        <v>3000</v>
      </c>
      <c r="H255" s="1" t="s">
        <v>1106</v>
      </c>
      <c r="I255" s="1" t="s">
        <v>1107</v>
      </c>
      <c r="J255" s="1" t="s">
        <v>1108</v>
      </c>
      <c r="K255" s="1" t="s">
        <v>1323</v>
      </c>
      <c r="L255" s="1" t="s">
        <v>1109</v>
      </c>
      <c r="M255" s="1" t="s">
        <v>1110</v>
      </c>
      <c r="N255" s="1" t="s">
        <v>1111</v>
      </c>
      <c r="O255" s="1" t="s">
        <v>1139</v>
      </c>
      <c r="P255" s="16"/>
    </row>
    <row r="256" spans="7:16" ht="15" customHeight="1" x14ac:dyDescent="0.15">
      <c r="G256" s="11">
        <v>3100</v>
      </c>
      <c r="H256" s="1" t="s">
        <v>1325</v>
      </c>
      <c r="I256" s="1" t="s">
        <v>1326</v>
      </c>
      <c r="J256" s="1" t="s">
        <v>1327</v>
      </c>
      <c r="K256" s="1" t="s">
        <v>1328</v>
      </c>
      <c r="L256" s="1" t="s">
        <v>1329</v>
      </c>
      <c r="M256" s="1" t="s">
        <v>1330</v>
      </c>
      <c r="N256" s="1" t="s">
        <v>1331</v>
      </c>
      <c r="O256" s="1" t="s">
        <v>1332</v>
      </c>
      <c r="P256" s="16"/>
    </row>
    <row r="257" spans="7:16" ht="15" customHeight="1" x14ac:dyDescent="0.15">
      <c r="G257" s="11">
        <v>3200</v>
      </c>
      <c r="H257" s="1" t="s">
        <v>1333</v>
      </c>
      <c r="I257" s="1" t="s">
        <v>1334</v>
      </c>
      <c r="J257" s="1" t="s">
        <v>1335</v>
      </c>
      <c r="K257" s="1" t="s">
        <v>1336</v>
      </c>
      <c r="L257" s="1" t="s">
        <v>1337</v>
      </c>
      <c r="M257" s="1" t="s">
        <v>1338</v>
      </c>
      <c r="N257" s="1" t="s">
        <v>1339</v>
      </c>
      <c r="O257" s="1" t="s">
        <v>1340</v>
      </c>
      <c r="P257" s="16"/>
    </row>
    <row r="258" spans="7:16" ht="15" customHeight="1" x14ac:dyDescent="0.15">
      <c r="G258" s="11">
        <v>3300</v>
      </c>
      <c r="H258" s="1" t="s">
        <v>1341</v>
      </c>
      <c r="I258" s="1" t="s">
        <v>1342</v>
      </c>
      <c r="J258" s="1" t="s">
        <v>1343</v>
      </c>
      <c r="K258" s="1" t="s">
        <v>1344</v>
      </c>
      <c r="L258" s="1" t="s">
        <v>1345</v>
      </c>
      <c r="M258" s="1" t="s">
        <v>1346</v>
      </c>
      <c r="N258" s="1" t="s">
        <v>1347</v>
      </c>
      <c r="O258" s="1" t="s">
        <v>1348</v>
      </c>
      <c r="P258" s="16"/>
    </row>
    <row r="259" spans="7:16" ht="15" customHeight="1" x14ac:dyDescent="0.15">
      <c r="G259" s="11">
        <v>3400</v>
      </c>
      <c r="H259" s="1" t="s">
        <v>1349</v>
      </c>
      <c r="I259" s="1" t="s">
        <v>1350</v>
      </c>
      <c r="J259" s="1" t="s">
        <v>1351</v>
      </c>
      <c r="K259" s="1" t="s">
        <v>1352</v>
      </c>
      <c r="L259" s="1" t="s">
        <v>1353</v>
      </c>
      <c r="M259" s="1" t="s">
        <v>1354</v>
      </c>
      <c r="N259" s="1" t="s">
        <v>1355</v>
      </c>
      <c r="O259" s="1" t="s">
        <v>1356</v>
      </c>
      <c r="P259" s="16"/>
    </row>
    <row r="260" spans="7:16" ht="15" customHeight="1" x14ac:dyDescent="0.15">
      <c r="G260" s="11">
        <v>3500</v>
      </c>
      <c r="H260" s="1" t="s">
        <v>1357</v>
      </c>
      <c r="I260" s="1" t="s">
        <v>1358</v>
      </c>
      <c r="J260" s="1" t="s">
        <v>1359</v>
      </c>
      <c r="K260" s="1" t="s">
        <v>1360</v>
      </c>
      <c r="L260" s="1" t="s">
        <v>1361</v>
      </c>
      <c r="M260" s="1" t="s">
        <v>1362</v>
      </c>
      <c r="N260" s="1" t="s">
        <v>1363</v>
      </c>
      <c r="O260" s="1" t="s">
        <v>1364</v>
      </c>
      <c r="P260" s="16"/>
    </row>
    <row r="261" spans="7:16" ht="15" customHeight="1" x14ac:dyDescent="0.15">
      <c r="G261" s="11">
        <v>3600</v>
      </c>
      <c r="H261" s="1" t="s">
        <v>1365</v>
      </c>
      <c r="I261" s="1" t="s">
        <v>1366</v>
      </c>
      <c r="J261" s="1" t="s">
        <v>1367</v>
      </c>
      <c r="K261" s="1" t="s">
        <v>1368</v>
      </c>
      <c r="L261" s="1" t="s">
        <v>1369</v>
      </c>
      <c r="M261" s="1" t="s">
        <v>1370</v>
      </c>
      <c r="N261" s="1" t="s">
        <v>1371</v>
      </c>
      <c r="O261" s="1" t="s">
        <v>1372</v>
      </c>
      <c r="P261" s="16"/>
    </row>
    <row r="262" spans="7:16" ht="15" customHeight="1" x14ac:dyDescent="0.15">
      <c r="G262" s="11">
        <v>3700</v>
      </c>
      <c r="H262" s="1" t="s">
        <v>1373</v>
      </c>
      <c r="I262" s="1" t="s">
        <v>1374</v>
      </c>
      <c r="J262" s="1" t="s">
        <v>1375</v>
      </c>
      <c r="K262" s="1" t="s">
        <v>1376</v>
      </c>
      <c r="L262" s="1" t="s">
        <v>1377</v>
      </c>
      <c r="M262" s="1" t="s">
        <v>1378</v>
      </c>
      <c r="N262" s="1" t="s">
        <v>1379</v>
      </c>
      <c r="O262" s="1" t="s">
        <v>1380</v>
      </c>
      <c r="P262" s="16"/>
    </row>
    <row r="263" spans="7:16" ht="15" customHeight="1" x14ac:dyDescent="0.15">
      <c r="G263" s="11">
        <v>3800</v>
      </c>
      <c r="H263" s="1" t="s">
        <v>1381</v>
      </c>
      <c r="I263" s="1" t="s">
        <v>1382</v>
      </c>
      <c r="J263" s="1" t="s">
        <v>1383</v>
      </c>
      <c r="K263" s="1" t="s">
        <v>1384</v>
      </c>
      <c r="L263" s="1" t="s">
        <v>1385</v>
      </c>
      <c r="M263" s="1" t="s">
        <v>1386</v>
      </c>
      <c r="N263" s="1" t="s">
        <v>1387</v>
      </c>
      <c r="O263" s="1" t="s">
        <v>1388</v>
      </c>
      <c r="P263" s="16"/>
    </row>
    <row r="264" spans="7:16" ht="15" customHeight="1" x14ac:dyDescent="0.15">
      <c r="G264" s="11">
        <v>3900</v>
      </c>
      <c r="H264" s="1" t="s">
        <v>1389</v>
      </c>
      <c r="I264" s="1" t="s">
        <v>1390</v>
      </c>
      <c r="J264" s="1" t="s">
        <v>1391</v>
      </c>
      <c r="K264" s="1" t="s">
        <v>1392</v>
      </c>
      <c r="L264" s="1" t="s">
        <v>1393</v>
      </c>
      <c r="M264" s="1" t="s">
        <v>1394</v>
      </c>
      <c r="N264" s="1" t="s">
        <v>1395</v>
      </c>
      <c r="O264" s="1" t="s">
        <v>1396</v>
      </c>
      <c r="P264" s="16"/>
    </row>
    <row r="265" spans="7:16" ht="15" customHeight="1" x14ac:dyDescent="0.15">
      <c r="G265" s="11">
        <v>4000</v>
      </c>
      <c r="H265" s="1" t="s">
        <v>1397</v>
      </c>
      <c r="I265" s="1" t="s">
        <v>1398</v>
      </c>
      <c r="J265" s="1" t="s">
        <v>1399</v>
      </c>
      <c r="K265" s="1" t="s">
        <v>1400</v>
      </c>
      <c r="L265" s="1" t="s">
        <v>1401</v>
      </c>
      <c r="M265" s="1" t="s">
        <v>1402</v>
      </c>
      <c r="N265" s="1" t="s">
        <v>1403</v>
      </c>
      <c r="O265" s="1" t="s">
        <v>1404</v>
      </c>
      <c r="P265" s="16"/>
    </row>
    <row r="266" spans="7:16" ht="15" customHeight="1" x14ac:dyDescent="0.15">
      <c r="G266" s="11">
        <v>4100</v>
      </c>
      <c r="H266" s="1" t="s">
        <v>1405</v>
      </c>
      <c r="I266" s="1" t="s">
        <v>1406</v>
      </c>
      <c r="J266" s="1" t="s">
        <v>1407</v>
      </c>
      <c r="K266" s="1" t="s">
        <v>1408</v>
      </c>
      <c r="L266" s="1" t="s">
        <v>1409</v>
      </c>
      <c r="M266" s="1" t="s">
        <v>1410</v>
      </c>
      <c r="N266" s="1" t="s">
        <v>1411</v>
      </c>
      <c r="O266" s="1" t="s">
        <v>1412</v>
      </c>
      <c r="P266" s="16"/>
    </row>
    <row r="267" spans="7:16" ht="15" customHeight="1" x14ac:dyDescent="0.15">
      <c r="G267" s="11">
        <v>4200</v>
      </c>
      <c r="H267" s="1" t="s">
        <v>1413</v>
      </c>
      <c r="I267" s="1" t="s">
        <v>1414</v>
      </c>
      <c r="J267" s="1" t="s">
        <v>1415</v>
      </c>
      <c r="K267" s="1" t="s">
        <v>1416</v>
      </c>
      <c r="L267" s="1" t="s">
        <v>1417</v>
      </c>
      <c r="M267" s="1" t="s">
        <v>1418</v>
      </c>
      <c r="N267" s="1" t="s">
        <v>1419</v>
      </c>
      <c r="O267" s="1" t="s">
        <v>1420</v>
      </c>
      <c r="P267" s="16"/>
    </row>
    <row r="268" spans="7:16" ht="15" customHeight="1" x14ac:dyDescent="0.15">
      <c r="G268" s="11">
        <v>4300</v>
      </c>
      <c r="H268" s="1" t="s">
        <v>1421</v>
      </c>
      <c r="I268" s="1" t="s">
        <v>1422</v>
      </c>
      <c r="J268" s="1" t="s">
        <v>1423</v>
      </c>
      <c r="K268" s="1" t="s">
        <v>1424</v>
      </c>
      <c r="L268" s="1" t="s">
        <v>1425</v>
      </c>
      <c r="M268" s="1" t="s">
        <v>1426</v>
      </c>
      <c r="N268" s="1" t="s">
        <v>1427</v>
      </c>
      <c r="O268" s="1" t="s">
        <v>1428</v>
      </c>
      <c r="P268" s="16"/>
    </row>
    <row r="269" spans="7:16" ht="15" customHeight="1" x14ac:dyDescent="0.15">
      <c r="G269" s="11">
        <v>4400</v>
      </c>
      <c r="H269" s="1" t="s">
        <v>1429</v>
      </c>
      <c r="I269" s="1" t="s">
        <v>1430</v>
      </c>
      <c r="J269" s="1" t="s">
        <v>1431</v>
      </c>
      <c r="K269" s="1" t="s">
        <v>1432</v>
      </c>
      <c r="L269" s="1" t="s">
        <v>1433</v>
      </c>
      <c r="M269" s="1" t="s">
        <v>1434</v>
      </c>
      <c r="N269" s="1" t="s">
        <v>1435</v>
      </c>
      <c r="O269" s="1" t="s">
        <v>1436</v>
      </c>
      <c r="P269" s="16"/>
    </row>
    <row r="270" spans="7:16" ht="15" customHeight="1" x14ac:dyDescent="0.15">
      <c r="G270" s="11">
        <v>4500</v>
      </c>
      <c r="H270" s="1" t="s">
        <v>1437</v>
      </c>
      <c r="I270" s="1" t="s">
        <v>1438</v>
      </c>
      <c r="J270" s="1" t="s">
        <v>1439</v>
      </c>
      <c r="K270" s="1" t="s">
        <v>1440</v>
      </c>
      <c r="L270" s="1" t="s">
        <v>1441</v>
      </c>
      <c r="M270" s="1" t="s">
        <v>1442</v>
      </c>
      <c r="N270" s="1" t="s">
        <v>1443</v>
      </c>
      <c r="O270" s="1" t="s">
        <v>1444</v>
      </c>
      <c r="P270" s="16"/>
    </row>
    <row r="271" spans="7:16" ht="15" customHeight="1" x14ac:dyDescent="0.15">
      <c r="G271" s="11">
        <v>4600</v>
      </c>
      <c r="H271" s="1" t="s">
        <v>1445</v>
      </c>
      <c r="I271" s="1" t="s">
        <v>1446</v>
      </c>
      <c r="J271" s="1" t="s">
        <v>1447</v>
      </c>
      <c r="K271" s="1" t="s">
        <v>1448</v>
      </c>
      <c r="L271" s="1" t="s">
        <v>1449</v>
      </c>
      <c r="M271" s="1" t="s">
        <v>1450</v>
      </c>
      <c r="N271" s="1" t="s">
        <v>1451</v>
      </c>
      <c r="O271" s="1" t="s">
        <v>1452</v>
      </c>
      <c r="P271" s="16"/>
    </row>
    <row r="272" spans="7:16" ht="15" customHeight="1" x14ac:dyDescent="0.15">
      <c r="G272" s="11">
        <v>4700</v>
      </c>
      <c r="H272" s="1" t="s">
        <v>1453</v>
      </c>
      <c r="I272" s="1" t="s">
        <v>1454</v>
      </c>
      <c r="J272" s="1" t="s">
        <v>1455</v>
      </c>
      <c r="K272" s="1" t="s">
        <v>1456</v>
      </c>
      <c r="L272" s="1" t="s">
        <v>1457</v>
      </c>
      <c r="M272" s="1" t="s">
        <v>1458</v>
      </c>
      <c r="N272" s="1" t="s">
        <v>1459</v>
      </c>
      <c r="O272" s="1" t="s">
        <v>1460</v>
      </c>
      <c r="P272" s="16"/>
    </row>
    <row r="273" spans="7:16" ht="15" customHeight="1" x14ac:dyDescent="0.15">
      <c r="G273" s="11">
        <v>4800</v>
      </c>
      <c r="H273" s="1" t="s">
        <v>1461</v>
      </c>
      <c r="I273" s="1" t="s">
        <v>1462</v>
      </c>
      <c r="J273" s="1" t="s">
        <v>1463</v>
      </c>
      <c r="K273" s="1" t="s">
        <v>1464</v>
      </c>
      <c r="L273" s="1" t="s">
        <v>1465</v>
      </c>
      <c r="M273" s="1" t="s">
        <v>1466</v>
      </c>
      <c r="N273" s="1" t="s">
        <v>1467</v>
      </c>
      <c r="O273" s="1" t="s">
        <v>1468</v>
      </c>
      <c r="P273" s="16"/>
    </row>
    <row r="274" spans="7:16" ht="15" customHeight="1" x14ac:dyDescent="0.15">
      <c r="G274" s="11">
        <v>4900</v>
      </c>
      <c r="H274" s="1" t="s">
        <v>1469</v>
      </c>
      <c r="I274" s="1" t="s">
        <v>1470</v>
      </c>
      <c r="J274" s="1" t="s">
        <v>1471</v>
      </c>
      <c r="K274" s="1" t="s">
        <v>1472</v>
      </c>
      <c r="L274" s="1" t="s">
        <v>1473</v>
      </c>
      <c r="M274" s="1" t="s">
        <v>1474</v>
      </c>
      <c r="N274" s="1" t="s">
        <v>1475</v>
      </c>
      <c r="O274" s="1" t="s">
        <v>1476</v>
      </c>
      <c r="P274" s="16"/>
    </row>
    <row r="275" spans="7:16" ht="15" customHeight="1" x14ac:dyDescent="0.15">
      <c r="G275" s="11">
        <v>5000</v>
      </c>
      <c r="H275" s="1" t="s">
        <v>1477</v>
      </c>
      <c r="I275" s="1" t="s">
        <v>1478</v>
      </c>
      <c r="J275" s="1" t="s">
        <v>1479</v>
      </c>
      <c r="K275" s="1" t="s">
        <v>1480</v>
      </c>
      <c r="L275" s="1" t="s">
        <v>1481</v>
      </c>
      <c r="M275" s="1" t="s">
        <v>1482</v>
      </c>
      <c r="N275" s="1" t="s">
        <v>1483</v>
      </c>
      <c r="O275" s="1" t="s">
        <v>1484</v>
      </c>
      <c r="P275" s="16"/>
    </row>
    <row r="276" spans="7:16" ht="15" customHeight="1" x14ac:dyDescent="0.15">
      <c r="G276" s="11">
        <v>5100</v>
      </c>
      <c r="H276" s="1" t="s">
        <v>1485</v>
      </c>
      <c r="I276" s="1" t="s">
        <v>1486</v>
      </c>
      <c r="J276" s="1" t="s">
        <v>1487</v>
      </c>
      <c r="K276" s="1" t="s">
        <v>1488</v>
      </c>
      <c r="L276" s="1" t="s">
        <v>1489</v>
      </c>
      <c r="M276" s="1" t="s">
        <v>1490</v>
      </c>
      <c r="N276" s="1" t="s">
        <v>1491</v>
      </c>
      <c r="O276" s="1" t="s">
        <v>1492</v>
      </c>
      <c r="P276" s="16"/>
    </row>
    <row r="277" spans="7:16" ht="15" customHeight="1" x14ac:dyDescent="0.15">
      <c r="G277" s="11">
        <v>5200</v>
      </c>
      <c r="H277" s="1" t="s">
        <v>1493</v>
      </c>
      <c r="I277" s="1" t="s">
        <v>1494</v>
      </c>
      <c r="J277" s="1" t="s">
        <v>1495</v>
      </c>
      <c r="K277" s="1" t="s">
        <v>1496</v>
      </c>
      <c r="L277" s="1" t="s">
        <v>1497</v>
      </c>
      <c r="M277" s="1" t="s">
        <v>1498</v>
      </c>
      <c r="N277" s="1" t="s">
        <v>1499</v>
      </c>
      <c r="O277" s="1" t="s">
        <v>1500</v>
      </c>
      <c r="P277" s="16"/>
    </row>
    <row r="278" spans="7:16" ht="15" customHeight="1" x14ac:dyDescent="0.15">
      <c r="G278" s="11">
        <v>5300</v>
      </c>
      <c r="H278" s="1" t="s">
        <v>1501</v>
      </c>
      <c r="I278" s="1" t="s">
        <v>1502</v>
      </c>
      <c r="J278" s="1" t="s">
        <v>1503</v>
      </c>
      <c r="K278" s="1" t="s">
        <v>1504</v>
      </c>
      <c r="L278" s="1" t="s">
        <v>1505</v>
      </c>
      <c r="M278" s="1" t="s">
        <v>1506</v>
      </c>
      <c r="N278" s="1" t="s">
        <v>1507</v>
      </c>
      <c r="O278" s="1" t="s">
        <v>1508</v>
      </c>
      <c r="P278" s="16"/>
    </row>
    <row r="279" spans="7:16" ht="15" customHeight="1" x14ac:dyDescent="0.15">
      <c r="G279" s="11">
        <v>5400</v>
      </c>
      <c r="H279" s="1" t="s">
        <v>1509</v>
      </c>
      <c r="I279" s="1" t="s">
        <v>1510</v>
      </c>
      <c r="J279" s="1" t="s">
        <v>1511</v>
      </c>
      <c r="K279" s="1" t="s">
        <v>1512</v>
      </c>
      <c r="L279" s="1" t="s">
        <v>1513</v>
      </c>
      <c r="M279" s="1" t="s">
        <v>1514</v>
      </c>
      <c r="N279" s="1" t="s">
        <v>1515</v>
      </c>
      <c r="O279" s="1" t="s">
        <v>1516</v>
      </c>
      <c r="P279" s="16"/>
    </row>
    <row r="280" spans="7:16" ht="15" customHeight="1" x14ac:dyDescent="0.15">
      <c r="G280" s="11">
        <v>5500</v>
      </c>
      <c r="H280" s="1" t="s">
        <v>1517</v>
      </c>
      <c r="I280" s="1" t="s">
        <v>1518</v>
      </c>
      <c r="J280" s="1" t="s">
        <v>1519</v>
      </c>
      <c r="K280" s="1" t="s">
        <v>1520</v>
      </c>
      <c r="L280" s="1" t="s">
        <v>1521</v>
      </c>
      <c r="M280" s="1" t="s">
        <v>1522</v>
      </c>
      <c r="N280" s="1" t="s">
        <v>1523</v>
      </c>
      <c r="O280" s="1" t="s">
        <v>1524</v>
      </c>
      <c r="P280" s="16"/>
    </row>
    <row r="281" spans="7:16" ht="15" customHeight="1" x14ac:dyDescent="0.15">
      <c r="G281" s="11">
        <v>5600</v>
      </c>
      <c r="H281" s="1" t="s">
        <v>1525</v>
      </c>
      <c r="I281" s="1" t="s">
        <v>1526</v>
      </c>
      <c r="J281" s="1" t="s">
        <v>1527</v>
      </c>
      <c r="K281" s="1" t="s">
        <v>1528</v>
      </c>
      <c r="L281" s="1" t="s">
        <v>1529</v>
      </c>
      <c r="M281" s="1" t="s">
        <v>1530</v>
      </c>
      <c r="N281" s="1" t="s">
        <v>1531</v>
      </c>
      <c r="O281" s="1" t="s">
        <v>1532</v>
      </c>
      <c r="P281" s="16"/>
    </row>
    <row r="282" spans="7:16" ht="15" customHeight="1" x14ac:dyDescent="0.15">
      <c r="G282" s="11">
        <v>5700</v>
      </c>
      <c r="H282" s="1" t="s">
        <v>1533</v>
      </c>
      <c r="I282" s="1" t="s">
        <v>1534</v>
      </c>
      <c r="J282" s="1" t="s">
        <v>1535</v>
      </c>
      <c r="K282" s="1" t="s">
        <v>1536</v>
      </c>
      <c r="L282" s="1" t="s">
        <v>1537</v>
      </c>
      <c r="M282" s="1" t="s">
        <v>1538</v>
      </c>
      <c r="N282" s="1" t="s">
        <v>1539</v>
      </c>
      <c r="O282" s="1" t="s">
        <v>1540</v>
      </c>
      <c r="P282" s="16"/>
    </row>
    <row r="283" spans="7:16" ht="15" customHeight="1" x14ac:dyDescent="0.15">
      <c r="G283" s="11">
        <v>5800</v>
      </c>
      <c r="H283" s="1" t="s">
        <v>1541</v>
      </c>
      <c r="I283" s="1" t="s">
        <v>1542</v>
      </c>
      <c r="J283" s="1" t="s">
        <v>1543</v>
      </c>
      <c r="K283" s="1" t="s">
        <v>1544</v>
      </c>
      <c r="L283" s="1" t="s">
        <v>1545</v>
      </c>
      <c r="M283" s="1" t="s">
        <v>1546</v>
      </c>
      <c r="N283" s="1" t="s">
        <v>1547</v>
      </c>
      <c r="O283" s="1" t="s">
        <v>1548</v>
      </c>
      <c r="P283" s="16"/>
    </row>
    <row r="284" spans="7:16" ht="15" customHeight="1" x14ac:dyDescent="0.15">
      <c r="G284" s="11">
        <v>5900</v>
      </c>
      <c r="H284" s="1" t="s">
        <v>1549</v>
      </c>
      <c r="I284" s="1" t="s">
        <v>1550</v>
      </c>
      <c r="J284" s="1" t="s">
        <v>1551</v>
      </c>
      <c r="K284" s="1" t="s">
        <v>1552</v>
      </c>
      <c r="L284" s="1" t="s">
        <v>1553</v>
      </c>
      <c r="M284" s="1" t="s">
        <v>1554</v>
      </c>
      <c r="N284" s="1" t="s">
        <v>1555</v>
      </c>
      <c r="O284" s="1" t="s">
        <v>1556</v>
      </c>
      <c r="P284" s="16"/>
    </row>
    <row r="285" spans="7:16" ht="15" customHeight="1" x14ac:dyDescent="0.15">
      <c r="G285" s="11">
        <v>6000</v>
      </c>
      <c r="H285" s="1" t="s">
        <v>1557</v>
      </c>
      <c r="I285" s="1" t="s">
        <v>1558</v>
      </c>
      <c r="J285" s="1" t="s">
        <v>1559</v>
      </c>
      <c r="K285" s="1" t="s">
        <v>1560</v>
      </c>
      <c r="L285" s="1" t="s">
        <v>1561</v>
      </c>
      <c r="M285" s="1" t="s">
        <v>1562</v>
      </c>
      <c r="N285" s="1" t="s">
        <v>1563</v>
      </c>
      <c r="O285" s="1" t="s">
        <v>1564</v>
      </c>
      <c r="P285" s="16"/>
    </row>
    <row r="286" spans="7:16" ht="15" customHeight="1" x14ac:dyDescent="0.15">
      <c r="G286" s="17" t="s">
        <v>40</v>
      </c>
      <c r="H286" s="16"/>
      <c r="I286" s="16"/>
      <c r="J286" s="16"/>
      <c r="K286" s="16"/>
      <c r="L286" s="16"/>
      <c r="M286" s="16"/>
      <c r="N286" s="16"/>
      <c r="O286" s="16"/>
      <c r="P286" s="16"/>
    </row>
  </sheetData>
  <mergeCells count="6">
    <mergeCell ref="H143:K143"/>
    <mergeCell ref="L143:O143"/>
    <mergeCell ref="L196:O196"/>
    <mergeCell ref="H196:K196"/>
    <mergeCell ref="H233:K233"/>
    <mergeCell ref="L233:O233"/>
  </mergeCells>
  <phoneticPr fontId="12"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6</vt:i4>
      </vt:variant>
      <vt:variant>
        <vt:lpstr>Intervalli denominati</vt:lpstr>
      </vt:variant>
      <vt:variant>
        <vt:i4>220</vt:i4>
      </vt:variant>
    </vt:vector>
  </HeadingPairs>
  <TitlesOfParts>
    <vt:vector size="226" baseType="lpstr">
      <vt:lpstr>1</vt:lpstr>
      <vt:lpstr>2</vt:lpstr>
      <vt:lpstr>Dati</vt:lpstr>
      <vt:lpstr>Traduzioni</vt:lpstr>
      <vt:lpstr>Guarnizioni</vt:lpstr>
      <vt:lpstr>Codici</vt:lpstr>
      <vt:lpstr>alb_tab</vt:lpstr>
      <vt:lpstr>ang_disc</vt:lpstr>
      <vt:lpstr>anno</vt:lpstr>
      <vt:lpstr>'1'!Area_stampa</vt:lpstr>
      <vt:lpstr>'2'!Area_stampa</vt:lpstr>
      <vt:lpstr>ATEX</vt:lpstr>
      <vt:lpstr>ATEX_rating</vt:lpstr>
      <vt:lpstr>ATEX_tag</vt:lpstr>
      <vt:lpstr>attacco_parti</vt:lpstr>
      <vt:lpstr>attacco_tipo</vt:lpstr>
      <vt:lpstr>barra_fil</vt:lpstr>
      <vt:lpstr>br_11</vt:lpstr>
      <vt:lpstr>br_15</vt:lpstr>
      <vt:lpstr>br_19</vt:lpstr>
      <vt:lpstr>br_21</vt:lpstr>
      <vt:lpstr>br_25</vt:lpstr>
      <vt:lpstr>br_30</vt:lpstr>
      <vt:lpstr>br_35</vt:lpstr>
      <vt:lpstr>br_40</vt:lpstr>
      <vt:lpstr>br_pnz</vt:lpstr>
      <vt:lpstr>bul_24_40STD</vt:lpstr>
      <vt:lpstr>bul_50_60STD</vt:lpstr>
      <vt:lpstr>bul_50_80OSB</vt:lpstr>
      <vt:lpstr>bul_elenco</vt:lpstr>
      <vt:lpstr>bulloneria_sopp</vt:lpstr>
      <vt:lpstr>bulloneria_sopp_A</vt:lpstr>
      <vt:lpstr>bulloneria_sopp_B</vt:lpstr>
      <vt:lpstr>calettatori_D</vt:lpstr>
      <vt:lpstr>calettatori_dati</vt:lpstr>
      <vt:lpstr>casse_cod</vt:lpstr>
      <vt:lpstr>casse_L</vt:lpstr>
      <vt:lpstr>casse_opt</vt:lpstr>
      <vt:lpstr>casse_tipi</vt:lpstr>
      <vt:lpstr>casse_tipi_opt</vt:lpstr>
      <vt:lpstr>cat</vt:lpstr>
      <vt:lpstr>catena_tipo</vt:lpstr>
      <vt:lpstr>catena_trasm_dati</vt:lpstr>
      <vt:lpstr>catena_trasm_passo</vt:lpstr>
      <vt:lpstr>catena_trasm_potenza</vt:lpstr>
      <vt:lpstr>cavi_sns</vt:lpstr>
      <vt:lpstr>cfg</vt:lpstr>
      <vt:lpstr>chg</vt:lpstr>
      <vt:lpstr>chk_mrid</vt:lpstr>
      <vt:lpstr>cliente</vt:lpstr>
      <vt:lpstr>Cmax</vt:lpstr>
      <vt:lpstr>cod_allestimento</vt:lpstr>
      <vt:lpstr>cod_anno</vt:lpstr>
      <vt:lpstr>cod_sint</vt:lpstr>
      <vt:lpstr>col_N</vt:lpstr>
      <vt:lpstr>col_nome</vt:lpstr>
      <vt:lpstr>comando_dati</vt:lpstr>
      <vt:lpstr>comm</vt:lpstr>
      <vt:lpstr>comm_RO</vt:lpstr>
      <vt:lpstr>cop</vt:lpstr>
      <vt:lpstr>cop_mat</vt:lpstr>
      <vt:lpstr>curva_ang</vt:lpstr>
      <vt:lpstr>curva_dati</vt:lpstr>
      <vt:lpstr>D_alb_com</vt:lpstr>
      <vt:lpstr>D_alb_rnv</vt:lpstr>
      <vt:lpstr>D_max_spina</vt:lpstr>
      <vt:lpstr>data</vt:lpstr>
      <vt:lpstr>dimens</vt:lpstr>
      <vt:lpstr>dis</vt:lpstr>
      <vt:lpstr>disp_col_N</vt:lpstr>
      <vt:lpstr>disp_dati</vt:lpstr>
      <vt:lpstr>disp_reaz_tipo</vt:lpstr>
      <vt:lpstr>disp_tipi</vt:lpstr>
      <vt:lpstr>disp_tranc</vt:lpstr>
      <vt:lpstr>disp_tranc_opt</vt:lpstr>
      <vt:lpstr>EAC_tag</vt:lpstr>
      <vt:lpstr>elenco_lingue</vt:lpstr>
      <vt:lpstr>esec_dati</vt:lpstr>
      <vt:lpstr>Ex_tag</vt:lpstr>
      <vt:lpstr>flg_br</vt:lpstr>
      <vt:lpstr>flg_chad</vt:lpstr>
      <vt:lpstr>flg_cur_ang</vt:lpstr>
      <vt:lpstr>flg_cur_inf</vt:lpstr>
      <vt:lpstr>flg_cur_sup</vt:lpstr>
      <vt:lpstr>flg_gmot</vt:lpstr>
      <vt:lpstr>flg_mrid_forn</vt:lpstr>
      <vt:lpstr>flg_mrid_lato</vt:lpstr>
      <vt:lpstr>flg_mrid_tipo</vt:lpstr>
      <vt:lpstr>flg_pul</vt:lpstr>
      <vt:lpstr>flg_rnv_mot</vt:lpstr>
      <vt:lpstr>flg_RO</vt:lpstr>
      <vt:lpstr>fondo</vt:lpstr>
      <vt:lpstr>forn</vt:lpstr>
      <vt:lpstr>gcop_ccar_24_40STD</vt:lpstr>
      <vt:lpstr>gcop_ccar_50_60STD</vt:lpstr>
      <vt:lpstr>gcop_ccar_50_80OSB</vt:lpstr>
      <vt:lpstr>gcop_cinf_24_40STD</vt:lpstr>
      <vt:lpstr>gcop_cinf_50_60STD</vt:lpstr>
      <vt:lpstr>gcop_cinf_50_80OSB</vt:lpstr>
      <vt:lpstr>gcop_com_24_40STD</vt:lpstr>
      <vt:lpstr>gcop_com_50_60STD</vt:lpstr>
      <vt:lpstr>gcop_com_50_80OSB</vt:lpstr>
      <vt:lpstr>gcop_cstd_24_40STD</vt:lpstr>
      <vt:lpstr>gcop_cstd_50_60STD</vt:lpstr>
      <vt:lpstr>gcop_cstd_50_80OSB</vt:lpstr>
      <vt:lpstr>gcop_csup_24_40STD</vt:lpstr>
      <vt:lpstr>gcop_csup_50_60STD</vt:lpstr>
      <vt:lpstr>gcop_csup_50_80OSB</vt:lpstr>
      <vt:lpstr>gcop_rnv_24_40STD</vt:lpstr>
      <vt:lpstr>gcop_rnv_50_60STD</vt:lpstr>
      <vt:lpstr>gcop_rnv_50_80OSB</vt:lpstr>
      <vt:lpstr>gr_dati</vt:lpstr>
      <vt:lpstr>gr_tipi</vt:lpstr>
      <vt:lpstr>guida_mis</vt:lpstr>
      <vt:lpstr>H_fianc</vt:lpstr>
      <vt:lpstr>hm_cat</vt:lpstr>
      <vt:lpstr>ID_lingua</vt:lpstr>
      <vt:lpstr>impianto</vt:lpstr>
      <vt:lpstr>incl</vt:lpstr>
      <vt:lpstr>incl_com</vt:lpstr>
      <vt:lpstr>inst_opt</vt:lpstr>
      <vt:lpstr>L_24_40</vt:lpstr>
      <vt:lpstr>L_24_40_dati</vt:lpstr>
      <vt:lpstr>L_50_60N</vt:lpstr>
      <vt:lpstr>L_50_60N_dati</vt:lpstr>
      <vt:lpstr>L_50_80L</vt:lpstr>
      <vt:lpstr>L_50_80L_dati</vt:lpstr>
      <vt:lpstr>L_guarn_casse</vt:lpstr>
      <vt:lpstr>L_guarn_tot</vt:lpstr>
      <vt:lpstr>lingua</vt:lpstr>
      <vt:lpstr>lingue</vt:lpstr>
      <vt:lpstr>mac_cod_sint</vt:lpstr>
      <vt:lpstr>macchina_cod</vt:lpstr>
      <vt:lpstr>macchina_dati</vt:lpstr>
      <vt:lpstr>macchina_pos</vt:lpstr>
      <vt:lpstr>macchina_tipo</vt:lpstr>
      <vt:lpstr>macchina_W</vt:lpstr>
      <vt:lpstr>mat</vt:lpstr>
      <vt:lpstr>mat_cop</vt:lpstr>
      <vt:lpstr>mat_fianc</vt:lpstr>
      <vt:lpstr>mat_fondo</vt:lpstr>
      <vt:lpstr>mat_guida</vt:lpstr>
      <vt:lpstr>mat_riv</vt:lpstr>
      <vt:lpstr>mat_trasp</vt:lpstr>
      <vt:lpstr>mat_trasp_opt</vt:lpstr>
      <vt:lpstr>matr</vt:lpstr>
      <vt:lpstr>mod_base</vt:lpstr>
      <vt:lpstr>molle</vt:lpstr>
      <vt:lpstr>mot_opt</vt:lpstr>
      <vt:lpstr>mot_opt_dati</vt:lpstr>
      <vt:lpstr>mot_opt_scelta</vt:lpstr>
      <vt:lpstr>mrid</vt:lpstr>
      <vt:lpstr>mrid_dati</vt:lpstr>
      <vt:lpstr>mrid_inst</vt:lpstr>
      <vt:lpstr>mrid_K_pos</vt:lpstr>
      <vt:lpstr>mrid_lim</vt:lpstr>
      <vt:lpstr>mrid_mis</vt:lpstr>
      <vt:lpstr>mrid_qt</vt:lpstr>
      <vt:lpstr>mrid_R_pos</vt:lpstr>
      <vt:lpstr>mrid_tipi</vt:lpstr>
      <vt:lpstr>mrid_tipi_K</vt:lpstr>
      <vt:lpstr>mrid_tipi_R</vt:lpstr>
      <vt:lpstr>mrid_tipo</vt:lpstr>
      <vt:lpstr>n_giunz</vt:lpstr>
      <vt:lpstr>n_rid</vt:lpstr>
      <vt:lpstr>nota_1</vt:lpstr>
      <vt:lpstr>nota_2</vt:lpstr>
      <vt:lpstr>nota_3</vt:lpstr>
      <vt:lpstr>nota_4</vt:lpstr>
      <vt:lpstr>nota_5</vt:lpstr>
      <vt:lpstr>ol_dati</vt:lpstr>
      <vt:lpstr>ol_tipi</vt:lpstr>
      <vt:lpstr>opt</vt:lpstr>
      <vt:lpstr>P_rid</vt:lpstr>
      <vt:lpstr>pannelli_bul</vt:lpstr>
      <vt:lpstr>pos</vt:lpstr>
      <vt:lpstr>potenza</vt:lpstr>
      <vt:lpstr>pr_guida</vt:lpstr>
      <vt:lpstr>react_opt</vt:lpstr>
      <vt:lpstr>rev</vt:lpstr>
      <vt:lpstr>rinvio_dati</vt:lpstr>
      <vt:lpstr>sns_br</vt:lpstr>
      <vt:lpstr>sns_cr</vt:lpstr>
      <vt:lpstr>sns_int</vt:lpstr>
      <vt:lpstr>sns_liv</vt:lpstr>
      <vt:lpstr>sopp_24_std</vt:lpstr>
      <vt:lpstr>sopp_30_std</vt:lpstr>
      <vt:lpstr>sopp_40_std</vt:lpstr>
      <vt:lpstr>sopp_50_osb</vt:lpstr>
      <vt:lpstr>sopp_50_std</vt:lpstr>
      <vt:lpstr>sopp_60_osb</vt:lpstr>
      <vt:lpstr>sopp_60_std</vt:lpstr>
      <vt:lpstr>sopp_80_osb</vt:lpstr>
      <vt:lpstr>sopporti_dati</vt:lpstr>
      <vt:lpstr>sopporti_rnv_dati</vt:lpstr>
      <vt:lpstr>sopporti_tipi</vt:lpstr>
      <vt:lpstr>sopporti_tipi_OSB</vt:lpstr>
      <vt:lpstr>sopporti_tipi_STD</vt:lpstr>
      <vt:lpstr>sp_cop</vt:lpstr>
      <vt:lpstr>sp_fianc</vt:lpstr>
      <vt:lpstr>sp_fondo</vt:lpstr>
      <vt:lpstr>sp_guida</vt:lpstr>
      <vt:lpstr>sp_riv</vt:lpstr>
      <vt:lpstr>spec_curva</vt:lpstr>
      <vt:lpstr>std_forn</vt:lpstr>
      <vt:lpstr>str_forn</vt:lpstr>
      <vt:lpstr>supply_opt</vt:lpstr>
      <vt:lpstr>tab_disp</vt:lpstr>
      <vt:lpstr>tab_tcom_cod</vt:lpstr>
      <vt:lpstr>telai_pann</vt:lpstr>
      <vt:lpstr>temp</vt:lpstr>
      <vt:lpstr>termini</vt:lpstr>
      <vt:lpstr>'1'!Titoli_stampa</vt:lpstr>
      <vt:lpstr>TKK_24_40</vt:lpstr>
      <vt:lpstr>TKK_24_H</vt:lpstr>
      <vt:lpstr>TKK_30_H</vt:lpstr>
      <vt:lpstr>TKK_40_H</vt:lpstr>
      <vt:lpstr>TKK_50</vt:lpstr>
      <vt:lpstr>TKK_50_H</vt:lpstr>
      <vt:lpstr>TKK_60</vt:lpstr>
      <vt:lpstr>TKK_60_H</vt:lpstr>
      <vt:lpstr>TKK_80</vt:lpstr>
      <vt:lpstr>TKK_80_H</vt:lpstr>
      <vt:lpstr>trad_termini</vt:lpstr>
      <vt:lpstr>v_trasp</vt:lpstr>
      <vt:lpstr>W_cassa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 Giuseppe Barozzi</dc:creator>
  <cp:lastModifiedBy>Daniel Laini</cp:lastModifiedBy>
  <cp:lastPrinted>2025-07-09T12:06:14Z</cp:lastPrinted>
  <dcterms:created xsi:type="dcterms:W3CDTF">2016-09-21T13:57:29Z</dcterms:created>
  <dcterms:modified xsi:type="dcterms:W3CDTF">2025-07-09T12:06:43Z</dcterms:modified>
</cp:coreProperties>
</file>